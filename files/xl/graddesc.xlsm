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codeName="{2AF44A5B-4F9A-30C1-5B58-47010ADB2D0F}"/>
  <workbookPr codeName="ThisWorkbook"/>
  <mc:AlternateContent xmlns:mc="http://schemas.openxmlformats.org/markup-compatibility/2006">
    <mc:Choice Requires="x15">
      <x15ac:absPath xmlns:x15ac="http://schemas.microsoft.com/office/spreadsheetml/2010/11/ac" url="C:\Users\j\git\course-v3\files\xl\"/>
    </mc:Choice>
  </mc:AlternateContent>
  <xr:revisionPtr revIDLastSave="0" documentId="13_ncr:1_{2C1EB3EE-5E06-4D2A-BCBA-ECC1E2109D18}" xr6:coauthVersionLast="38" xr6:coauthVersionMax="38" xr10:uidLastSave="{00000000-0000-0000-0000-000000000000}"/>
  <bookViews>
    <workbookView xWindow="11070" yWindow="0" windowWidth="8693" windowHeight="6840" xr2:uid="{00000000-000D-0000-FFFF-FFFF00000000}"/>
  </bookViews>
  <sheets>
    <sheet name="Sheet1" sheetId="20" r:id="rId1"/>
    <sheet name="data" sheetId="1" r:id="rId2"/>
    <sheet name="basic" sheetId="3" r:id="rId3"/>
    <sheet name="momentum" sheetId="18" r:id="rId4"/>
    <sheet name="rmsprop" sheetId="13" r:id="rId5"/>
    <sheet name="adam" sheetId="15" r:id="rId6"/>
    <sheet name="adam_ann" sheetId="19" r:id="rId7"/>
  </sheets>
  <definedNames>
    <definedName name="avg_grad2" localSheetId="6">adam_ann!$N$33</definedName>
    <definedName name="const" localSheetId="5">adam!$C$1</definedName>
    <definedName name="const" localSheetId="6">adam_ann!$C$1</definedName>
    <definedName name="const" localSheetId="2">basic!$C$1</definedName>
    <definedName name="const" localSheetId="3">momentum!$C$1</definedName>
    <definedName name="const" localSheetId="4">rmsprop!$C$1</definedName>
    <definedName name="gradrat" localSheetId="6">adam_ann!$N$34</definedName>
    <definedName name="gradtarget" localSheetId="5">adam!$L$33:$M$33</definedName>
    <definedName name="gradtarget" localSheetId="6">adam_ann!$L$33:$M$33</definedName>
    <definedName name="gradtarget" localSheetId="2">basic!$K$1:$L$1</definedName>
    <definedName name="gradtarget" localSheetId="3">momentum!#REF!</definedName>
    <definedName name="gradtarget" localSheetId="4">rmsprop!$J$33:$K$33</definedName>
    <definedName name="histgrad" localSheetId="5">adam!$F$33:$G$33</definedName>
    <definedName name="histgrad" localSheetId="6">adam_ann!$F$33:$G$33</definedName>
    <definedName name="histgrad" localSheetId="2">basic!$K$33:$L$33</definedName>
    <definedName name="histgrad" localSheetId="3">momentum!$F$33:$G$33</definedName>
    <definedName name="histgrad" localSheetId="4">rmsprop!$F$33:$G$33</definedName>
    <definedName name="lastconst" localSheetId="5">adam!$C$32</definedName>
    <definedName name="lastconst" localSheetId="6">adam_ann!$C$32</definedName>
    <definedName name="lastconst" localSheetId="2">basic!$C$32</definedName>
    <definedName name="lastconst" localSheetId="3">momentum!$C$32</definedName>
    <definedName name="lastconst" localSheetId="4">rmsprop!$C$32</definedName>
    <definedName name="lastslope" localSheetId="5">adam!$D$32</definedName>
    <definedName name="lastslope" localSheetId="6">adam_ann!$D$32</definedName>
    <definedName name="lastslope" localSheetId="2">basic!$D$32</definedName>
    <definedName name="lastslope" localSheetId="3">momentum!$D$32</definedName>
    <definedName name="lastslope" localSheetId="4">rmsprop!$D$32</definedName>
    <definedName name="lr" localSheetId="5">adam!$D$2</definedName>
    <definedName name="lr" localSheetId="6">adam_ann!$D$2</definedName>
    <definedName name="lr" localSheetId="3">momentum!$D$2</definedName>
    <definedName name="max_clipped" localSheetId="5">adam!$O$34</definedName>
    <definedName name="max_clipped" localSheetId="6">adam_ann!$O$34</definedName>
    <definedName name="max_clipped" localSheetId="3">momentum!$M$34</definedName>
    <definedName name="max_clipped" localSheetId="4">rmsprop!$K$34</definedName>
    <definedName name="momlast" localSheetId="5">adam!$J$32:$K$32</definedName>
    <definedName name="momlast" localSheetId="6">adam_ann!$J$32:$K$32</definedName>
    <definedName name="momlast" localSheetId="3">momentum!$J$32:$K$32</definedName>
    <definedName name="momtarget" localSheetId="5">adam!$J$33:$K$33</definedName>
    <definedName name="momtarget" localSheetId="6">adam_ann!$J$33:$K$33</definedName>
    <definedName name="momtarget" localSheetId="3">momentum!$J$33:$K$33</definedName>
    <definedName name="ms_last" localSheetId="5">adam!$L$32:$M$32</definedName>
    <definedName name="ms_last" localSheetId="6">adam_ann!$L$32:$M$32</definedName>
    <definedName name="ms_last" localSheetId="3">momentum!#REF!</definedName>
    <definedName name="ms_last" localSheetId="4">rmsprop!$J$32:$K$32</definedName>
    <definedName name="pct_clipped" localSheetId="5">adam!$O$33</definedName>
    <definedName name="pct_clipped" localSheetId="6">adam_ann!$O$33</definedName>
    <definedName name="pct_clipped" localSheetId="3">momentum!$M$33</definedName>
    <definedName name="pct_clipped" localSheetId="4">rmsprop!#REF!</definedName>
    <definedName name="prev_grad2" localSheetId="6">adam_ann!$N$3</definedName>
    <definedName name="rmse" localSheetId="2">basic!$F$33</definedName>
    <definedName name="rmses" localSheetId="2">basic!$C$38:$C$106</definedName>
    <definedName name="rmsestart" localSheetId="2">basic!$C$36</definedName>
    <definedName name="slope" localSheetId="5">adam!$C$2</definedName>
    <definedName name="slope" localSheetId="6">adam_ann!$C$2</definedName>
    <definedName name="slope" localSheetId="2">basic!$C$2</definedName>
    <definedName name="slope" localSheetId="3">momentum!$C$2</definedName>
    <definedName name="slope" localSheetId="4">rmsprop!$C$2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33" i="19" l="1"/>
  <c r="D4" i="19" l="1"/>
  <c r="C4" i="19"/>
  <c r="M3" i="19"/>
  <c r="L3" i="19"/>
  <c r="L34" i="19" s="1"/>
  <c r="K3" i="19"/>
  <c r="K34" i="19" s="1"/>
  <c r="J3" i="19"/>
  <c r="M1" i="19"/>
  <c r="K1" i="19"/>
  <c r="D4" i="18"/>
  <c r="C4" i="18"/>
  <c r="K3" i="18"/>
  <c r="J3" i="18"/>
  <c r="K1" i="18"/>
  <c r="F4" i="19" l="1"/>
  <c r="G4" i="19" s="1"/>
  <c r="K4" i="19" s="1"/>
  <c r="E4" i="19"/>
  <c r="F4" i="18"/>
  <c r="G4" i="18" s="1"/>
  <c r="K4" i="18" s="1"/>
  <c r="I4" i="18" s="1"/>
  <c r="D5" i="18" s="1"/>
  <c r="E4" i="18"/>
  <c r="L4" i="18" s="1"/>
  <c r="J4" i="19" l="1"/>
  <c r="M4" i="19"/>
  <c r="I4" i="19" s="1"/>
  <c r="D5" i="19" s="1"/>
  <c r="L4" i="19"/>
  <c r="J4" i="18"/>
  <c r="H4" i="18" s="1"/>
  <c r="C5" i="18" s="1"/>
  <c r="F5" i="18" s="1"/>
  <c r="J5" i="18" s="1"/>
  <c r="H5" i="18" s="1"/>
  <c r="K3" i="15"/>
  <c r="J3" i="15"/>
  <c r="K1" i="15"/>
  <c r="D4" i="15"/>
  <c r="C4" i="15"/>
  <c r="M3" i="15"/>
  <c r="L3" i="15"/>
  <c r="M1" i="15"/>
  <c r="H4" i="19" l="1"/>
  <c r="C5" i="19" s="1"/>
  <c r="E5" i="19" s="1"/>
  <c r="E5" i="18"/>
  <c r="L5" i="18" s="1"/>
  <c r="G5" i="18"/>
  <c r="F4" i="15"/>
  <c r="E4" i="15"/>
  <c r="K1" i="13"/>
  <c r="K3" i="13"/>
  <c r="J3" i="13"/>
  <c r="D4" i="13"/>
  <c r="C4" i="13"/>
  <c r="F5" i="19" l="1"/>
  <c r="K5" i="18"/>
  <c r="I5" i="18" s="1"/>
  <c r="C6" i="18"/>
  <c r="G4" i="15"/>
  <c r="J4" i="15"/>
  <c r="L4" i="15"/>
  <c r="F4" i="13"/>
  <c r="J4" i="13" s="1"/>
  <c r="E4" i="13"/>
  <c r="G5" i="19" l="1"/>
  <c r="K5" i="19" s="1"/>
  <c r="J5" i="19"/>
  <c r="L5" i="19"/>
  <c r="D6" i="18"/>
  <c r="H4" i="15"/>
  <c r="C5" i="15" s="1"/>
  <c r="K4" i="15"/>
  <c r="M4" i="15"/>
  <c r="G4" i="13"/>
  <c r="H4" i="13"/>
  <c r="C5" i="13" s="1"/>
  <c r="M5" i="19" l="1"/>
  <c r="I5" i="19" s="1"/>
  <c r="D6" i="19" s="1"/>
  <c r="H5" i="19"/>
  <c r="C6" i="19" s="1"/>
  <c r="F6" i="18"/>
  <c r="E6" i="18"/>
  <c r="L6" i="18" s="1"/>
  <c r="I4" i="15"/>
  <c r="D5" i="15" s="1"/>
  <c r="F5" i="15" s="1"/>
  <c r="K4" i="13"/>
  <c r="I4" i="13"/>
  <c r="D5" i="13" s="1"/>
  <c r="E6" i="19" l="1"/>
  <c r="F6" i="19"/>
  <c r="G6" i="18"/>
  <c r="J6" i="18"/>
  <c r="H6" i="18" s="1"/>
  <c r="E5" i="15"/>
  <c r="J5" i="15"/>
  <c r="L5" i="15"/>
  <c r="G5" i="15"/>
  <c r="F5" i="13"/>
  <c r="E5" i="13"/>
  <c r="G6" i="19" l="1"/>
  <c r="J6" i="19"/>
  <c r="L6" i="19"/>
  <c r="C7" i="18"/>
  <c r="K6" i="18"/>
  <c r="I6" i="18" s="1"/>
  <c r="H5" i="15"/>
  <c r="C6" i="15" s="1"/>
  <c r="K5" i="15"/>
  <c r="M5" i="15"/>
  <c r="J5" i="13"/>
  <c r="H5" i="13"/>
  <c r="C6" i="13" s="1"/>
  <c r="G5" i="13"/>
  <c r="D4" i="3"/>
  <c r="C4" i="3"/>
  <c r="B6" i="1"/>
  <c r="C6" i="1" s="1"/>
  <c r="B7" i="1"/>
  <c r="C7" i="1" s="1"/>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5" i="1"/>
  <c r="C5" i="1" s="1"/>
  <c r="H6" i="19" l="1"/>
  <c r="C7" i="19" s="1"/>
  <c r="K6" i="19"/>
  <c r="M6" i="19"/>
  <c r="D7" i="18"/>
  <c r="I5" i="15"/>
  <c r="D6" i="15" s="1"/>
  <c r="F6" i="15" s="1"/>
  <c r="I5" i="13"/>
  <c r="D6" i="13" s="1"/>
  <c r="K5" i="13"/>
  <c r="G4" i="3"/>
  <c r="E4" i="3"/>
  <c r="I4" i="3"/>
  <c r="I6" i="19" l="1"/>
  <c r="D7" i="19" s="1"/>
  <c r="E7" i="18"/>
  <c r="L7" i="18" s="1"/>
  <c r="F7" i="18"/>
  <c r="E6" i="15"/>
  <c r="G6" i="15"/>
  <c r="L6" i="15"/>
  <c r="J6" i="15"/>
  <c r="F6" i="13"/>
  <c r="E6" i="13"/>
  <c r="F4" i="3"/>
  <c r="J4" i="3" s="1"/>
  <c r="K4" i="3"/>
  <c r="N4" i="3" s="1"/>
  <c r="C5" i="3" s="1"/>
  <c r="F7" i="19" l="1"/>
  <c r="E7" i="19"/>
  <c r="G7" i="18"/>
  <c r="J7" i="18"/>
  <c r="H7" i="18" s="1"/>
  <c r="H6" i="15"/>
  <c r="C7" i="15" s="1"/>
  <c r="M6" i="15"/>
  <c r="K6" i="15"/>
  <c r="H4" i="3"/>
  <c r="J6" i="13"/>
  <c r="H6" i="13"/>
  <c r="C7" i="13" s="1"/>
  <c r="G6" i="13"/>
  <c r="L4" i="3"/>
  <c r="M4" i="3" s="1"/>
  <c r="D5" i="3" s="1"/>
  <c r="G7" i="19" l="1"/>
  <c r="L7" i="19"/>
  <c r="J7" i="19"/>
  <c r="K7" i="18"/>
  <c r="I7" i="18" s="1"/>
  <c r="C8" i="18"/>
  <c r="I6" i="15"/>
  <c r="D7" i="15" s="1"/>
  <c r="K6" i="13"/>
  <c r="I6" i="13"/>
  <c r="D7" i="13" s="1"/>
  <c r="G5" i="3"/>
  <c r="I5" i="3"/>
  <c r="E5" i="3"/>
  <c r="H7" i="19" l="1"/>
  <c r="C8" i="19" s="1"/>
  <c r="M7" i="19"/>
  <c r="K7" i="19"/>
  <c r="D8" i="18"/>
  <c r="F7" i="15"/>
  <c r="E7" i="15"/>
  <c r="F7" i="13"/>
  <c r="E7" i="13"/>
  <c r="F5" i="3"/>
  <c r="J5" i="3" s="1"/>
  <c r="K5" i="3"/>
  <c r="N5" i="3" s="1"/>
  <c r="C6" i="3" s="1"/>
  <c r="I7" i="19" l="1"/>
  <c r="D8" i="19" s="1"/>
  <c r="E8" i="19" s="1"/>
  <c r="E8" i="18"/>
  <c r="L8" i="18" s="1"/>
  <c r="F8" i="18"/>
  <c r="J7" i="15"/>
  <c r="L7" i="15"/>
  <c r="G7" i="15"/>
  <c r="J7" i="13"/>
  <c r="H7" i="13"/>
  <c r="C8" i="13" s="1"/>
  <c r="G7" i="13"/>
  <c r="H5" i="3"/>
  <c r="L5" i="3"/>
  <c r="M5" i="3" s="1"/>
  <c r="D6" i="3" s="1"/>
  <c r="G6" i="3" s="1"/>
  <c r="F8" i="19" l="1"/>
  <c r="G8" i="18"/>
  <c r="J8" i="18"/>
  <c r="H8" i="18" s="1"/>
  <c r="H7" i="15"/>
  <c r="C8" i="15" s="1"/>
  <c r="M7" i="15"/>
  <c r="K7" i="15"/>
  <c r="K7" i="13"/>
  <c r="I7" i="13"/>
  <c r="D8" i="13" s="1"/>
  <c r="E8" i="13" s="1"/>
  <c r="E6" i="3"/>
  <c r="F6" i="3" s="1"/>
  <c r="I6" i="3"/>
  <c r="K6" i="3" l="1"/>
  <c r="N6" i="3" s="1"/>
  <c r="C7" i="3" s="1"/>
  <c r="G8" i="19"/>
  <c r="J8" i="19"/>
  <c r="L8" i="19"/>
  <c r="C9" i="18"/>
  <c r="K8" i="18"/>
  <c r="I8" i="18" s="1"/>
  <c r="I7" i="15"/>
  <c r="D8" i="15" s="1"/>
  <c r="E8" i="15" s="1"/>
  <c r="F8" i="13"/>
  <c r="J6" i="3"/>
  <c r="H6" i="3"/>
  <c r="L6" i="3" l="1"/>
  <c r="M6" i="3" s="1"/>
  <c r="D7" i="3" s="1"/>
  <c r="G7" i="3" s="1"/>
  <c r="H8" i="19"/>
  <c r="C9" i="19" s="1"/>
  <c r="M8" i="19"/>
  <c r="K8" i="19"/>
  <c r="D9" i="18"/>
  <c r="F8" i="15"/>
  <c r="J8" i="13"/>
  <c r="H8" i="13"/>
  <c r="C9" i="13" s="1"/>
  <c r="G8" i="13"/>
  <c r="I7" i="3" l="1"/>
  <c r="E7" i="3"/>
  <c r="F7" i="3" s="1"/>
  <c r="I8" i="19"/>
  <c r="D9" i="19" s="1"/>
  <c r="E9" i="18"/>
  <c r="L9" i="18" s="1"/>
  <c r="F9" i="18"/>
  <c r="L8" i="15"/>
  <c r="J8" i="15"/>
  <c r="G8" i="15"/>
  <c r="K8" i="13"/>
  <c r="I8" i="13"/>
  <c r="D9" i="13" s="1"/>
  <c r="K7" i="3" l="1"/>
  <c r="L7" i="3" s="1"/>
  <c r="M7" i="3" s="1"/>
  <c r="D8" i="3" s="1"/>
  <c r="F9" i="19"/>
  <c r="E9" i="19"/>
  <c r="G9" i="18"/>
  <c r="J9" i="18"/>
  <c r="H9" i="18" s="1"/>
  <c r="H8" i="15"/>
  <c r="C9" i="15" s="1"/>
  <c r="K8" i="15"/>
  <c r="M8" i="15"/>
  <c r="F9" i="13"/>
  <c r="E9" i="13"/>
  <c r="H7" i="3"/>
  <c r="J7" i="3"/>
  <c r="N7" i="3" l="1"/>
  <c r="C8" i="3" s="1"/>
  <c r="E8" i="3" s="1"/>
  <c r="K8" i="3" s="1"/>
  <c r="N8" i="3" s="1"/>
  <c r="C9" i="3" s="1"/>
  <c r="G9" i="19"/>
  <c r="L9" i="19"/>
  <c r="J9" i="19"/>
  <c r="C10" i="18"/>
  <c r="K9" i="18"/>
  <c r="I9" i="18" s="1"/>
  <c r="I8" i="15"/>
  <c r="D9" i="15" s="1"/>
  <c r="F9" i="15" s="1"/>
  <c r="J9" i="13"/>
  <c r="G9" i="13"/>
  <c r="H9" i="13"/>
  <c r="C10" i="13" s="1"/>
  <c r="I8" i="3" l="1"/>
  <c r="G8" i="3"/>
  <c r="H9" i="19"/>
  <c r="C10" i="19" s="1"/>
  <c r="M9" i="19"/>
  <c r="K9" i="19"/>
  <c r="D10" i="18"/>
  <c r="G9" i="15"/>
  <c r="L9" i="15"/>
  <c r="J9" i="15"/>
  <c r="E9" i="15"/>
  <c r="F8" i="3"/>
  <c r="K9" i="13"/>
  <c r="I9" i="13"/>
  <c r="D10" i="13" s="1"/>
  <c r="L8" i="3"/>
  <c r="M8" i="3" s="1"/>
  <c r="D9" i="3" s="1"/>
  <c r="E9" i="3" s="1"/>
  <c r="J8" i="3" l="1"/>
  <c r="I9" i="19"/>
  <c r="D10" i="19" s="1"/>
  <c r="E10" i="19" s="1"/>
  <c r="E10" i="18"/>
  <c r="L10" i="18" s="1"/>
  <c r="F10" i="18"/>
  <c r="K9" i="15"/>
  <c r="M9" i="15"/>
  <c r="H9" i="15"/>
  <c r="C10" i="15" s="1"/>
  <c r="H8" i="3"/>
  <c r="E10" i="13"/>
  <c r="F10" i="13"/>
  <c r="F9" i="3"/>
  <c r="K9" i="3"/>
  <c r="N9" i="3" s="1"/>
  <c r="G9" i="3"/>
  <c r="I9" i="3"/>
  <c r="F10" i="19" l="1"/>
  <c r="G10" i="18"/>
  <c r="J10" i="18"/>
  <c r="H10" i="18" s="1"/>
  <c r="I9" i="15"/>
  <c r="D10" i="15" s="1"/>
  <c r="F10" i="15" s="1"/>
  <c r="H9" i="3"/>
  <c r="J9" i="3"/>
  <c r="J10" i="13"/>
  <c r="G10" i="13"/>
  <c r="H10" i="13"/>
  <c r="C11" i="13" s="1"/>
  <c r="L9" i="3"/>
  <c r="M9" i="3" s="1"/>
  <c r="D10" i="3" s="1"/>
  <c r="C10" i="3"/>
  <c r="G10" i="19" l="1"/>
  <c r="J10" i="19"/>
  <c r="L10" i="19"/>
  <c r="C11" i="18"/>
  <c r="K10" i="18"/>
  <c r="I10" i="18" s="1"/>
  <c r="E10" i="15"/>
  <c r="J10" i="15"/>
  <c r="G10" i="15"/>
  <c r="L10" i="15"/>
  <c r="K10" i="13"/>
  <c r="I10" i="13"/>
  <c r="D11" i="13" s="1"/>
  <c r="E10" i="3"/>
  <c r="I10" i="3"/>
  <c r="G10" i="3"/>
  <c r="H10" i="19" l="1"/>
  <c r="C11" i="19" s="1"/>
  <c r="M10" i="19"/>
  <c r="K10" i="19"/>
  <c r="D11" i="18"/>
  <c r="K10" i="15"/>
  <c r="H10" i="15"/>
  <c r="C11" i="15" s="1"/>
  <c r="M10" i="15"/>
  <c r="F11" i="13"/>
  <c r="E11" i="13"/>
  <c r="F10" i="3"/>
  <c r="H10" i="3" s="1"/>
  <c r="K10" i="3"/>
  <c r="L10" i="3" s="1"/>
  <c r="M10" i="3" s="1"/>
  <c r="D11" i="3" s="1"/>
  <c r="I10" i="19" l="1"/>
  <c r="D11" i="19" s="1"/>
  <c r="E11" i="19" s="1"/>
  <c r="E11" i="18"/>
  <c r="L11" i="18" s="1"/>
  <c r="F11" i="18"/>
  <c r="I10" i="15"/>
  <c r="D11" i="15" s="1"/>
  <c r="E11" i="15" s="1"/>
  <c r="J11" i="13"/>
  <c r="G11" i="13"/>
  <c r="H11" i="13"/>
  <c r="C12" i="13" s="1"/>
  <c r="J10" i="3"/>
  <c r="N10" i="3"/>
  <c r="C11" i="3" s="1"/>
  <c r="E11" i="3" s="1"/>
  <c r="F11" i="19" l="1"/>
  <c r="G11" i="18"/>
  <c r="J11" i="18"/>
  <c r="F11" i="15"/>
  <c r="K11" i="13"/>
  <c r="I11" i="13"/>
  <c r="D12" i="13" s="1"/>
  <c r="G11" i="3"/>
  <c r="F11" i="3"/>
  <c r="K11" i="3"/>
  <c r="L11" i="3" s="1"/>
  <c r="M11" i="3" s="1"/>
  <c r="D12" i="3" s="1"/>
  <c r="I11" i="3"/>
  <c r="H11" i="18" l="1"/>
  <c r="C12" i="18" s="1"/>
  <c r="G11" i="19"/>
  <c r="L11" i="19"/>
  <c r="J11" i="19"/>
  <c r="K11" i="18"/>
  <c r="I11" i="18" s="1"/>
  <c r="G11" i="15"/>
  <c r="L11" i="15"/>
  <c r="J11" i="15"/>
  <c r="E12" i="13"/>
  <c r="F12" i="13"/>
  <c r="J11" i="3"/>
  <c r="H11" i="3"/>
  <c r="N11" i="3"/>
  <c r="C12" i="3" s="1"/>
  <c r="I12" i="3" s="1"/>
  <c r="H11" i="19" l="1"/>
  <c r="C12" i="19" s="1"/>
  <c r="M11" i="19"/>
  <c r="K11" i="19"/>
  <c r="D12" i="18"/>
  <c r="K11" i="15"/>
  <c r="M11" i="15"/>
  <c r="H11" i="15"/>
  <c r="C12" i="15" s="1"/>
  <c r="J12" i="13"/>
  <c r="H12" i="13"/>
  <c r="C13" i="13" s="1"/>
  <c r="G12" i="13"/>
  <c r="E12" i="3"/>
  <c r="G12" i="3"/>
  <c r="I11" i="19" l="1"/>
  <c r="D12" i="19" s="1"/>
  <c r="E12" i="18"/>
  <c r="L12" i="18" s="1"/>
  <c r="F12" i="18"/>
  <c r="J12" i="18" s="1"/>
  <c r="I11" i="15"/>
  <c r="D12" i="15" s="1"/>
  <c r="E12" i="15" s="1"/>
  <c r="K12" i="13"/>
  <c r="I12" i="13"/>
  <c r="D13" i="13" s="1"/>
  <c r="E13" i="13" s="1"/>
  <c r="F12" i="3"/>
  <c r="J12" i="3" s="1"/>
  <c r="K12" i="3"/>
  <c r="F12" i="19" l="1"/>
  <c r="E12" i="19"/>
  <c r="G12" i="18"/>
  <c r="H12" i="18"/>
  <c r="F12" i="15"/>
  <c r="F13" i="13"/>
  <c r="L12" i="3"/>
  <c r="M12" i="3" s="1"/>
  <c r="D13" i="3" s="1"/>
  <c r="N12" i="3"/>
  <c r="C13" i="3" s="1"/>
  <c r="H12" i="3"/>
  <c r="G12" i="19" l="1"/>
  <c r="J12" i="19"/>
  <c r="L12" i="19"/>
  <c r="C13" i="18"/>
  <c r="K12" i="18"/>
  <c r="I12" i="18" s="1"/>
  <c r="L12" i="15"/>
  <c r="G12" i="15"/>
  <c r="J12" i="15"/>
  <c r="J13" i="13"/>
  <c r="G13" i="13"/>
  <c r="H13" i="13"/>
  <c r="C14" i="13" s="1"/>
  <c r="E13" i="3"/>
  <c r="G13" i="3"/>
  <c r="I13" i="3"/>
  <c r="H12" i="19" l="1"/>
  <c r="C13" i="19" s="1"/>
  <c r="K12" i="19"/>
  <c r="M12" i="19"/>
  <c r="D13" i="18"/>
  <c r="H12" i="15"/>
  <c r="C13" i="15" s="1"/>
  <c r="K12" i="15"/>
  <c r="M12" i="15"/>
  <c r="K13" i="13"/>
  <c r="I13" i="13"/>
  <c r="D14" i="13" s="1"/>
  <c r="F13" i="3"/>
  <c r="H13" i="3" s="1"/>
  <c r="K13" i="3"/>
  <c r="I12" i="19" l="1"/>
  <c r="D13" i="19" s="1"/>
  <c r="F13" i="18"/>
  <c r="E13" i="18"/>
  <c r="L13" i="18" s="1"/>
  <c r="I12" i="15"/>
  <c r="D13" i="15" s="1"/>
  <c r="F13" i="15" s="1"/>
  <c r="F14" i="13"/>
  <c r="E14" i="13"/>
  <c r="J13" i="3"/>
  <c r="L13" i="3"/>
  <c r="M13" i="3" s="1"/>
  <c r="D14" i="3" s="1"/>
  <c r="N13" i="3"/>
  <c r="C14" i="3" s="1"/>
  <c r="F13" i="19" l="1"/>
  <c r="E13" i="19"/>
  <c r="G13" i="18"/>
  <c r="J13" i="18"/>
  <c r="H13" i="18" s="1"/>
  <c r="E13" i="15"/>
  <c r="J13" i="15"/>
  <c r="L13" i="15"/>
  <c r="G13" i="15"/>
  <c r="J14" i="13"/>
  <c r="G14" i="13"/>
  <c r="H14" i="13"/>
  <c r="C15" i="13" s="1"/>
  <c r="G14" i="3"/>
  <c r="E14" i="3"/>
  <c r="I14" i="3"/>
  <c r="G13" i="19" l="1"/>
  <c r="L13" i="19"/>
  <c r="J13" i="19"/>
  <c r="K13" i="18"/>
  <c r="I13" i="18" s="1"/>
  <c r="C14" i="18"/>
  <c r="H13" i="15"/>
  <c r="C14" i="15" s="1"/>
  <c r="K13" i="15"/>
  <c r="M13" i="15"/>
  <c r="K14" i="13"/>
  <c r="I14" i="13"/>
  <c r="D15" i="13" s="1"/>
  <c r="E15" i="13" s="1"/>
  <c r="F14" i="3"/>
  <c r="J14" i="3" s="1"/>
  <c r="K14" i="3"/>
  <c r="H13" i="19" l="1"/>
  <c r="C14" i="19" s="1"/>
  <c r="M13" i="19"/>
  <c r="K13" i="19"/>
  <c r="D14" i="18"/>
  <c r="I13" i="15"/>
  <c r="D14" i="15" s="1"/>
  <c r="E14" i="15" s="1"/>
  <c r="F15" i="13"/>
  <c r="H14" i="3"/>
  <c r="L14" i="3"/>
  <c r="M14" i="3" s="1"/>
  <c r="D15" i="3" s="1"/>
  <c r="N14" i="3"/>
  <c r="C15" i="3" s="1"/>
  <c r="I13" i="19" l="1"/>
  <c r="D14" i="19" s="1"/>
  <c r="F14" i="18"/>
  <c r="E14" i="18"/>
  <c r="L14" i="18" s="1"/>
  <c r="F14" i="15"/>
  <c r="L14" i="15" s="1"/>
  <c r="J15" i="13"/>
  <c r="H15" i="13"/>
  <c r="C16" i="13" s="1"/>
  <c r="G15" i="13"/>
  <c r="G15" i="3"/>
  <c r="E15" i="3"/>
  <c r="I15" i="3"/>
  <c r="F14" i="19" l="1"/>
  <c r="E14" i="19"/>
  <c r="G14" i="18"/>
  <c r="J14" i="18"/>
  <c r="H14" i="18" s="1"/>
  <c r="J14" i="15"/>
  <c r="H14" i="15" s="1"/>
  <c r="C15" i="15" s="1"/>
  <c r="G14" i="15"/>
  <c r="K15" i="13"/>
  <c r="I15" i="13"/>
  <c r="D16" i="13" s="1"/>
  <c r="F15" i="3"/>
  <c r="J15" i="3" s="1"/>
  <c r="K15" i="3"/>
  <c r="G14" i="19" l="1"/>
  <c r="J14" i="19"/>
  <c r="L14" i="19"/>
  <c r="C15" i="18"/>
  <c r="K14" i="18"/>
  <c r="I14" i="18" s="1"/>
  <c r="M14" i="15"/>
  <c r="K14" i="15"/>
  <c r="F16" i="13"/>
  <c r="E16" i="13"/>
  <c r="H15" i="3"/>
  <c r="L15" i="3"/>
  <c r="M15" i="3" s="1"/>
  <c r="D16" i="3" s="1"/>
  <c r="N15" i="3"/>
  <c r="C16" i="3" s="1"/>
  <c r="H14" i="19" l="1"/>
  <c r="C15" i="19" s="1"/>
  <c r="M14" i="19"/>
  <c r="K14" i="19"/>
  <c r="D15" i="18"/>
  <c r="I14" i="15"/>
  <c r="D15" i="15" s="1"/>
  <c r="F15" i="15" s="1"/>
  <c r="J16" i="13"/>
  <c r="G16" i="13"/>
  <c r="H16" i="13"/>
  <c r="C17" i="13" s="1"/>
  <c r="G16" i="3"/>
  <c r="E16" i="3"/>
  <c r="I16" i="3"/>
  <c r="I14" i="19" l="1"/>
  <c r="D15" i="19" s="1"/>
  <c r="E15" i="19" s="1"/>
  <c r="E15" i="18"/>
  <c r="L15" i="18" s="1"/>
  <c r="F15" i="18"/>
  <c r="E15" i="15"/>
  <c r="J15" i="15"/>
  <c r="L15" i="15"/>
  <c r="G15" i="15"/>
  <c r="K16" i="13"/>
  <c r="I16" i="13"/>
  <c r="D17" i="13" s="1"/>
  <c r="F16" i="3"/>
  <c r="J16" i="3" s="1"/>
  <c r="K16" i="3"/>
  <c r="F15" i="19" l="1"/>
  <c r="G15" i="18"/>
  <c r="J15" i="18"/>
  <c r="H15" i="18" s="1"/>
  <c r="H15" i="15"/>
  <c r="C16" i="15" s="1"/>
  <c r="M15" i="15"/>
  <c r="K15" i="15"/>
  <c r="F17" i="13"/>
  <c r="E17" i="13"/>
  <c r="H16" i="3"/>
  <c r="L16" i="3"/>
  <c r="M16" i="3" s="1"/>
  <c r="D17" i="3" s="1"/>
  <c r="N16" i="3"/>
  <c r="C17" i="3" s="1"/>
  <c r="G15" i="19" l="1"/>
  <c r="L15" i="19"/>
  <c r="J15" i="19"/>
  <c r="C16" i="18"/>
  <c r="K15" i="18"/>
  <c r="I15" i="18" s="1"/>
  <c r="I15" i="15"/>
  <c r="D16" i="15" s="1"/>
  <c r="J17" i="13"/>
  <c r="G17" i="13"/>
  <c r="H17" i="13"/>
  <c r="C18" i="13" s="1"/>
  <c r="G17" i="3"/>
  <c r="E17" i="3"/>
  <c r="I17" i="3"/>
  <c r="H15" i="19" l="1"/>
  <c r="C16" i="19" s="1"/>
  <c r="M15" i="19"/>
  <c r="K15" i="19"/>
  <c r="D16" i="18"/>
  <c r="E16" i="15"/>
  <c r="F16" i="15"/>
  <c r="K17" i="13"/>
  <c r="I17" i="13"/>
  <c r="D18" i="13" s="1"/>
  <c r="F17" i="3"/>
  <c r="H17" i="3" s="1"/>
  <c r="K17" i="3"/>
  <c r="I15" i="19" l="1"/>
  <c r="D16" i="19" s="1"/>
  <c r="E16" i="18"/>
  <c r="L16" i="18" s="1"/>
  <c r="F16" i="18"/>
  <c r="L16" i="15"/>
  <c r="G16" i="15"/>
  <c r="J16" i="15"/>
  <c r="F18" i="13"/>
  <c r="E18" i="13"/>
  <c r="J17" i="3"/>
  <c r="L17" i="3"/>
  <c r="M17" i="3" s="1"/>
  <c r="D18" i="3" s="1"/>
  <c r="N17" i="3"/>
  <c r="C18" i="3" s="1"/>
  <c r="F16" i="19" l="1"/>
  <c r="E16" i="19"/>
  <c r="G16" i="18"/>
  <c r="J16" i="18"/>
  <c r="H16" i="18" s="1"/>
  <c r="H16" i="15"/>
  <c r="C17" i="15" s="1"/>
  <c r="M16" i="15"/>
  <c r="K16" i="15"/>
  <c r="J18" i="13"/>
  <c r="G18" i="13"/>
  <c r="H18" i="13"/>
  <c r="C19" i="13" s="1"/>
  <c r="G18" i="3"/>
  <c r="E18" i="3"/>
  <c r="I18" i="3"/>
  <c r="G16" i="19" l="1"/>
  <c r="J16" i="19"/>
  <c r="L16" i="19"/>
  <c r="C17" i="18"/>
  <c r="K16" i="18"/>
  <c r="I16" i="18" s="1"/>
  <c r="I16" i="15"/>
  <c r="D17" i="15" s="1"/>
  <c r="F17" i="15" s="1"/>
  <c r="J17" i="15" s="1"/>
  <c r="K18" i="13"/>
  <c r="I18" i="13"/>
  <c r="D19" i="13" s="1"/>
  <c r="F18" i="3"/>
  <c r="J18" i="3" s="1"/>
  <c r="K18" i="3"/>
  <c r="H16" i="19" l="1"/>
  <c r="C17" i="19" s="1"/>
  <c r="M16" i="19"/>
  <c r="K16" i="19"/>
  <c r="D17" i="18"/>
  <c r="G17" i="15"/>
  <c r="K17" i="15" s="1"/>
  <c r="E17" i="15"/>
  <c r="L17" i="15"/>
  <c r="H17" i="15" s="1"/>
  <c r="C18" i="15" s="1"/>
  <c r="E19" i="13"/>
  <c r="F19" i="13"/>
  <c r="H18" i="3"/>
  <c r="L18" i="3"/>
  <c r="M18" i="3" s="1"/>
  <c r="D19" i="3" s="1"/>
  <c r="N18" i="3"/>
  <c r="C19" i="3" s="1"/>
  <c r="I16" i="19" l="1"/>
  <c r="D17" i="19" s="1"/>
  <c r="F17" i="18"/>
  <c r="E17" i="18"/>
  <c r="L17" i="18" s="1"/>
  <c r="M17" i="15"/>
  <c r="I17" i="15" s="1"/>
  <c r="D18" i="15" s="1"/>
  <c r="J19" i="13"/>
  <c r="H19" i="13"/>
  <c r="C20" i="13" s="1"/>
  <c r="G19" i="13"/>
  <c r="G19" i="3"/>
  <c r="E19" i="3"/>
  <c r="I19" i="3"/>
  <c r="F17" i="19" l="1"/>
  <c r="E17" i="19"/>
  <c r="G17" i="18"/>
  <c r="J17" i="18"/>
  <c r="H17" i="18" s="1"/>
  <c r="F18" i="15"/>
  <c r="E18" i="15"/>
  <c r="K19" i="13"/>
  <c r="I19" i="13"/>
  <c r="D20" i="13" s="1"/>
  <c r="F19" i="3"/>
  <c r="J19" i="3" s="1"/>
  <c r="K19" i="3"/>
  <c r="G17" i="19" l="1"/>
  <c r="L17" i="19"/>
  <c r="J17" i="19"/>
  <c r="C18" i="18"/>
  <c r="K17" i="18"/>
  <c r="I17" i="18" s="1"/>
  <c r="J18" i="15"/>
  <c r="G18" i="15"/>
  <c r="L18" i="15"/>
  <c r="E20" i="13"/>
  <c r="F20" i="13"/>
  <c r="L19" i="3"/>
  <c r="M19" i="3" s="1"/>
  <c r="D20" i="3" s="1"/>
  <c r="N19" i="3"/>
  <c r="C20" i="3" s="1"/>
  <c r="H19" i="3"/>
  <c r="H17" i="19" l="1"/>
  <c r="C18" i="19" s="1"/>
  <c r="K17" i="19"/>
  <c r="M17" i="19"/>
  <c r="D18" i="18"/>
  <c r="M18" i="15"/>
  <c r="K18" i="15"/>
  <c r="H18" i="15"/>
  <c r="C19" i="15" s="1"/>
  <c r="J20" i="13"/>
  <c r="H20" i="13"/>
  <c r="C21" i="13" s="1"/>
  <c r="G20" i="13"/>
  <c r="G20" i="3"/>
  <c r="E20" i="3"/>
  <c r="I20" i="3"/>
  <c r="I17" i="19" l="1"/>
  <c r="D18" i="19" s="1"/>
  <c r="E18" i="19" s="1"/>
  <c r="F18" i="18"/>
  <c r="E18" i="18"/>
  <c r="L18" i="18" s="1"/>
  <c r="I18" i="15"/>
  <c r="D19" i="15" s="1"/>
  <c r="F19" i="15" s="1"/>
  <c r="K20" i="13"/>
  <c r="I20" i="13"/>
  <c r="D21" i="13" s="1"/>
  <c r="F20" i="3"/>
  <c r="H20" i="3" s="1"/>
  <c r="K20" i="3"/>
  <c r="F18" i="19" l="1"/>
  <c r="G18" i="18"/>
  <c r="J18" i="18"/>
  <c r="H18" i="18" s="1"/>
  <c r="E19" i="15"/>
  <c r="G19" i="15"/>
  <c r="J19" i="15"/>
  <c r="L19" i="15"/>
  <c r="E21" i="13"/>
  <c r="F21" i="13"/>
  <c r="J20" i="3"/>
  <c r="L20" i="3"/>
  <c r="M20" i="3" s="1"/>
  <c r="D21" i="3" s="1"/>
  <c r="N20" i="3"/>
  <c r="C21" i="3" s="1"/>
  <c r="G18" i="19" l="1"/>
  <c r="J18" i="19"/>
  <c r="L18" i="19"/>
  <c r="C19" i="18"/>
  <c r="K18" i="18"/>
  <c r="I18" i="18" s="1"/>
  <c r="H19" i="15"/>
  <c r="C20" i="15" s="1"/>
  <c r="M19" i="15"/>
  <c r="K19" i="15"/>
  <c r="J21" i="13"/>
  <c r="H21" i="13"/>
  <c r="C22" i="13" s="1"/>
  <c r="G21" i="13"/>
  <c r="G21" i="3"/>
  <c r="E21" i="3"/>
  <c r="I21" i="3"/>
  <c r="H18" i="19" l="1"/>
  <c r="C19" i="19" s="1"/>
  <c r="M18" i="19"/>
  <c r="K18" i="19"/>
  <c r="D19" i="18"/>
  <c r="I19" i="15"/>
  <c r="D20" i="15" s="1"/>
  <c r="E20" i="15" s="1"/>
  <c r="K21" i="13"/>
  <c r="I21" i="13"/>
  <c r="D22" i="13" s="1"/>
  <c r="F21" i="3"/>
  <c r="J21" i="3" s="1"/>
  <c r="K21" i="3"/>
  <c r="I18" i="19" l="1"/>
  <c r="D19" i="19" s="1"/>
  <c r="E19" i="18"/>
  <c r="L19" i="18" s="1"/>
  <c r="F19" i="18"/>
  <c r="F20" i="15"/>
  <c r="J20" i="15" s="1"/>
  <c r="F22" i="13"/>
  <c r="E22" i="13"/>
  <c r="H21" i="3"/>
  <c r="L21" i="3"/>
  <c r="M21" i="3" s="1"/>
  <c r="D22" i="3" s="1"/>
  <c r="N21" i="3"/>
  <c r="C22" i="3" s="1"/>
  <c r="F19" i="19" l="1"/>
  <c r="E19" i="19"/>
  <c r="G19" i="18"/>
  <c r="J19" i="18"/>
  <c r="H19" i="18" s="1"/>
  <c r="L20" i="15"/>
  <c r="H20" i="15" s="1"/>
  <c r="C21" i="15" s="1"/>
  <c r="G20" i="15"/>
  <c r="J22" i="13"/>
  <c r="G22" i="13"/>
  <c r="H22" i="13"/>
  <c r="C23" i="13" s="1"/>
  <c r="G22" i="3"/>
  <c r="E22" i="3"/>
  <c r="I22" i="3"/>
  <c r="G19" i="19" l="1"/>
  <c r="L19" i="19"/>
  <c r="J19" i="19"/>
  <c r="C20" i="18"/>
  <c r="K19" i="18"/>
  <c r="I19" i="18" s="1"/>
  <c r="M20" i="15"/>
  <c r="K20" i="15"/>
  <c r="K22" i="13"/>
  <c r="I22" i="13"/>
  <c r="D23" i="13" s="1"/>
  <c r="F22" i="3"/>
  <c r="J22" i="3" s="1"/>
  <c r="K22" i="3"/>
  <c r="H19" i="19" l="1"/>
  <c r="C20" i="19" s="1"/>
  <c r="M19" i="19"/>
  <c r="K19" i="19"/>
  <c r="D20" i="18"/>
  <c r="I20" i="15"/>
  <c r="D21" i="15" s="1"/>
  <c r="E21" i="15" s="1"/>
  <c r="F23" i="13"/>
  <c r="E23" i="13"/>
  <c r="H22" i="3"/>
  <c r="L22" i="3"/>
  <c r="M22" i="3" s="1"/>
  <c r="D23" i="3" s="1"/>
  <c r="N22" i="3"/>
  <c r="C23" i="3" s="1"/>
  <c r="I19" i="19" l="1"/>
  <c r="D20" i="19" s="1"/>
  <c r="E20" i="19" s="1"/>
  <c r="F20" i="18"/>
  <c r="E20" i="18"/>
  <c r="L20" i="18" s="1"/>
  <c r="F21" i="15"/>
  <c r="G21" i="15" s="1"/>
  <c r="J23" i="13"/>
  <c r="G23" i="13"/>
  <c r="H23" i="13"/>
  <c r="C24" i="13" s="1"/>
  <c r="G23" i="3"/>
  <c r="E23" i="3"/>
  <c r="I23" i="3"/>
  <c r="F20" i="19" l="1"/>
  <c r="G20" i="18"/>
  <c r="J20" i="18"/>
  <c r="H20" i="18" s="1"/>
  <c r="J21" i="15"/>
  <c r="L21" i="15"/>
  <c r="K21" i="15"/>
  <c r="M21" i="15"/>
  <c r="K23" i="13"/>
  <c r="I23" i="13"/>
  <c r="D24" i="13" s="1"/>
  <c r="F23" i="3"/>
  <c r="J23" i="3" s="1"/>
  <c r="K23" i="3"/>
  <c r="G20" i="19" l="1"/>
  <c r="J20" i="19"/>
  <c r="L20" i="19"/>
  <c r="C21" i="18"/>
  <c r="K20" i="18"/>
  <c r="I20" i="18" s="1"/>
  <c r="H21" i="15"/>
  <c r="C22" i="15" s="1"/>
  <c r="I21" i="15"/>
  <c r="D22" i="15" s="1"/>
  <c r="E24" i="13"/>
  <c r="F24" i="13"/>
  <c r="H23" i="3"/>
  <c r="L23" i="3"/>
  <c r="M23" i="3" s="1"/>
  <c r="D24" i="3" s="1"/>
  <c r="N23" i="3"/>
  <c r="C24" i="3" s="1"/>
  <c r="H20" i="19" l="1"/>
  <c r="C21" i="19" s="1"/>
  <c r="M20" i="19"/>
  <c r="K20" i="19"/>
  <c r="D21" i="18"/>
  <c r="F22" i="15"/>
  <c r="E22" i="15"/>
  <c r="J24" i="13"/>
  <c r="G24" i="13"/>
  <c r="H24" i="13"/>
  <c r="C25" i="13" s="1"/>
  <c r="G24" i="3"/>
  <c r="E24" i="3"/>
  <c r="I24" i="3"/>
  <c r="I20" i="19" l="1"/>
  <c r="D21" i="19" s="1"/>
  <c r="E21" i="19" s="1"/>
  <c r="E21" i="18"/>
  <c r="L21" i="18" s="1"/>
  <c r="F21" i="18"/>
  <c r="G22" i="15"/>
  <c r="M22" i="15" s="1"/>
  <c r="J22" i="15"/>
  <c r="L22" i="15"/>
  <c r="K24" i="13"/>
  <c r="I24" i="13"/>
  <c r="D25" i="13" s="1"/>
  <c r="F24" i="3"/>
  <c r="H24" i="3" s="1"/>
  <c r="K24" i="3"/>
  <c r="F21" i="19" l="1"/>
  <c r="G21" i="18"/>
  <c r="J21" i="18"/>
  <c r="H21" i="18" s="1"/>
  <c r="H22" i="15"/>
  <c r="C23" i="15" s="1"/>
  <c r="K22" i="15"/>
  <c r="I22" i="15" s="1"/>
  <c r="D23" i="15" s="1"/>
  <c r="E25" i="13"/>
  <c r="F25" i="13"/>
  <c r="J24" i="3"/>
  <c r="L24" i="3"/>
  <c r="M24" i="3" s="1"/>
  <c r="D25" i="3" s="1"/>
  <c r="N24" i="3"/>
  <c r="C25" i="3" s="1"/>
  <c r="G21" i="19" l="1"/>
  <c r="L21" i="19"/>
  <c r="J21" i="19"/>
  <c r="C22" i="18"/>
  <c r="K21" i="18"/>
  <c r="I21" i="18" s="1"/>
  <c r="F23" i="15"/>
  <c r="E23" i="15"/>
  <c r="J25" i="13"/>
  <c r="H25" i="13"/>
  <c r="C26" i="13" s="1"/>
  <c r="G25" i="13"/>
  <c r="G25" i="3"/>
  <c r="E25" i="3"/>
  <c r="I25" i="3"/>
  <c r="H21" i="19" l="1"/>
  <c r="C22" i="19" s="1"/>
  <c r="M21" i="19"/>
  <c r="K21" i="19"/>
  <c r="D22" i="18"/>
  <c r="J23" i="15"/>
  <c r="G23" i="15"/>
  <c r="L23" i="15"/>
  <c r="K25" i="13"/>
  <c r="I25" i="13"/>
  <c r="D26" i="13" s="1"/>
  <c r="F25" i="3"/>
  <c r="J25" i="3" s="1"/>
  <c r="K25" i="3"/>
  <c r="I21" i="19" l="1"/>
  <c r="D22" i="19" s="1"/>
  <c r="E22" i="19" s="1"/>
  <c r="E22" i="18"/>
  <c r="L22" i="18" s="1"/>
  <c r="F22" i="18"/>
  <c r="M23" i="15"/>
  <c r="H23" i="15"/>
  <c r="C24" i="15" s="1"/>
  <c r="K23" i="15"/>
  <c r="E26" i="13"/>
  <c r="F26" i="13"/>
  <c r="L25" i="3"/>
  <c r="M25" i="3" s="1"/>
  <c r="D26" i="3" s="1"/>
  <c r="N25" i="3"/>
  <c r="C26" i="3" s="1"/>
  <c r="H25" i="3"/>
  <c r="F22" i="19" l="1"/>
  <c r="G22" i="18"/>
  <c r="J22" i="18"/>
  <c r="H22" i="18" s="1"/>
  <c r="I23" i="15"/>
  <c r="D24" i="15" s="1"/>
  <c r="E24" i="15" s="1"/>
  <c r="J26" i="13"/>
  <c r="H26" i="13"/>
  <c r="C27" i="13" s="1"/>
  <c r="G26" i="13"/>
  <c r="G26" i="3"/>
  <c r="E26" i="3"/>
  <c r="I26" i="3"/>
  <c r="G22" i="19" l="1"/>
  <c r="J22" i="19"/>
  <c r="L22" i="19"/>
  <c r="C23" i="18"/>
  <c r="K22" i="18"/>
  <c r="I22" i="18" s="1"/>
  <c r="F24" i="15"/>
  <c r="K26" i="13"/>
  <c r="I26" i="13"/>
  <c r="D27" i="13" s="1"/>
  <c r="F26" i="3"/>
  <c r="J26" i="3" s="1"/>
  <c r="K26" i="3"/>
  <c r="H22" i="19" l="1"/>
  <c r="C23" i="19" s="1"/>
  <c r="M22" i="19"/>
  <c r="K22" i="19"/>
  <c r="D23" i="18"/>
  <c r="L24" i="15"/>
  <c r="G24" i="15"/>
  <c r="M24" i="15" s="1"/>
  <c r="J24" i="15"/>
  <c r="E27" i="13"/>
  <c r="F27" i="13"/>
  <c r="H26" i="3"/>
  <c r="L26" i="3"/>
  <c r="M26" i="3" s="1"/>
  <c r="D27" i="3" s="1"/>
  <c r="N26" i="3"/>
  <c r="C27" i="3" s="1"/>
  <c r="I22" i="19" l="1"/>
  <c r="D23" i="19" s="1"/>
  <c r="E23" i="19" s="1"/>
  <c r="E23" i="18"/>
  <c r="L23" i="18" s="1"/>
  <c r="F23" i="18"/>
  <c r="K24" i="15"/>
  <c r="I24" i="15" s="1"/>
  <c r="D25" i="15" s="1"/>
  <c r="H24" i="15"/>
  <c r="C25" i="15" s="1"/>
  <c r="J27" i="13"/>
  <c r="G27" i="13"/>
  <c r="H27" i="13"/>
  <c r="C28" i="13" s="1"/>
  <c r="E27" i="3"/>
  <c r="G27" i="3"/>
  <c r="I27" i="3"/>
  <c r="F23" i="19" l="1"/>
  <c r="G23" i="18"/>
  <c r="J23" i="18"/>
  <c r="H23" i="18" s="1"/>
  <c r="E25" i="15"/>
  <c r="F25" i="15"/>
  <c r="K27" i="13"/>
  <c r="I27" i="13"/>
  <c r="D28" i="13" s="1"/>
  <c r="F27" i="3"/>
  <c r="J27" i="3" s="1"/>
  <c r="K27" i="3"/>
  <c r="G23" i="19" l="1"/>
  <c r="L23" i="19"/>
  <c r="J23" i="19"/>
  <c r="C24" i="18"/>
  <c r="K23" i="18"/>
  <c r="I23" i="18" s="1"/>
  <c r="J25" i="15"/>
  <c r="L25" i="15"/>
  <c r="G25" i="15"/>
  <c r="M25" i="15" s="1"/>
  <c r="F28" i="13"/>
  <c r="E28" i="13"/>
  <c r="L27" i="3"/>
  <c r="M27" i="3" s="1"/>
  <c r="D28" i="3" s="1"/>
  <c r="N27" i="3"/>
  <c r="C28" i="3" s="1"/>
  <c r="H27" i="3"/>
  <c r="M23" i="19" l="1"/>
  <c r="K23" i="19"/>
  <c r="H23" i="19"/>
  <c r="C24" i="19" s="1"/>
  <c r="D24" i="18"/>
  <c r="H25" i="15"/>
  <c r="C26" i="15" s="1"/>
  <c r="K25" i="15"/>
  <c r="I25" i="15" s="1"/>
  <c r="D26" i="15" s="1"/>
  <c r="J28" i="13"/>
  <c r="G28" i="13"/>
  <c r="H28" i="13"/>
  <c r="C29" i="13" s="1"/>
  <c r="G28" i="3"/>
  <c r="E28" i="3"/>
  <c r="I28" i="3"/>
  <c r="I23" i="19" l="1"/>
  <c r="D24" i="19" s="1"/>
  <c r="F24" i="18"/>
  <c r="E24" i="18"/>
  <c r="L24" i="18" s="1"/>
  <c r="F26" i="15"/>
  <c r="E26" i="15"/>
  <c r="K28" i="13"/>
  <c r="I28" i="13"/>
  <c r="D29" i="13" s="1"/>
  <c r="F28" i="3"/>
  <c r="H28" i="3" s="1"/>
  <c r="K28" i="3"/>
  <c r="F24" i="19" l="1"/>
  <c r="E24" i="19"/>
  <c r="G24" i="18"/>
  <c r="J24" i="18"/>
  <c r="H24" i="18" s="1"/>
  <c r="G26" i="15"/>
  <c r="L26" i="15"/>
  <c r="J26" i="15"/>
  <c r="F29" i="13"/>
  <c r="E29" i="13"/>
  <c r="J28" i="3"/>
  <c r="L28" i="3"/>
  <c r="M28" i="3" s="1"/>
  <c r="D29" i="3" s="1"/>
  <c r="N28" i="3"/>
  <c r="C29" i="3" s="1"/>
  <c r="G24" i="19" l="1"/>
  <c r="L24" i="19"/>
  <c r="J24" i="19"/>
  <c r="C25" i="18"/>
  <c r="K24" i="18"/>
  <c r="I24" i="18" s="1"/>
  <c r="M26" i="15"/>
  <c r="K26" i="15"/>
  <c r="H26" i="15"/>
  <c r="C27" i="15" s="1"/>
  <c r="J29" i="13"/>
  <c r="G29" i="13"/>
  <c r="H29" i="13"/>
  <c r="C30" i="13" s="1"/>
  <c r="G29" i="3"/>
  <c r="E29" i="3"/>
  <c r="I29" i="3"/>
  <c r="H24" i="19" l="1"/>
  <c r="C25" i="19" s="1"/>
  <c r="M24" i="19"/>
  <c r="K24" i="19"/>
  <c r="D25" i="18"/>
  <c r="I26" i="15"/>
  <c r="D27" i="15" s="1"/>
  <c r="E27" i="15" s="1"/>
  <c r="K29" i="13"/>
  <c r="I29" i="13"/>
  <c r="D30" i="13" s="1"/>
  <c r="F29" i="3"/>
  <c r="J29" i="3" s="1"/>
  <c r="K29" i="3"/>
  <c r="I24" i="19" l="1"/>
  <c r="D25" i="19" s="1"/>
  <c r="F25" i="18"/>
  <c r="E25" i="18"/>
  <c r="L25" i="18" s="1"/>
  <c r="F27" i="15"/>
  <c r="G27" i="15" s="1"/>
  <c r="M27" i="15" s="1"/>
  <c r="F30" i="13"/>
  <c r="E30" i="13"/>
  <c r="H29" i="3"/>
  <c r="L29" i="3"/>
  <c r="M29" i="3" s="1"/>
  <c r="D30" i="3" s="1"/>
  <c r="N29" i="3"/>
  <c r="C30" i="3" s="1"/>
  <c r="F25" i="19" l="1"/>
  <c r="E25" i="19"/>
  <c r="G25" i="18"/>
  <c r="J25" i="18"/>
  <c r="H25" i="18" s="1"/>
  <c r="J27" i="15"/>
  <c r="K27" i="15"/>
  <c r="I27" i="15" s="1"/>
  <c r="D28" i="15" s="1"/>
  <c r="L27" i="15"/>
  <c r="J30" i="13"/>
  <c r="H30" i="13"/>
  <c r="C31" i="13" s="1"/>
  <c r="G30" i="13"/>
  <c r="G30" i="3"/>
  <c r="E30" i="3"/>
  <c r="I30" i="3"/>
  <c r="G25" i="19" l="1"/>
  <c r="J25" i="19"/>
  <c r="L25" i="19"/>
  <c r="C26" i="18"/>
  <c r="K25" i="18"/>
  <c r="I25" i="18" s="1"/>
  <c r="H27" i="15"/>
  <c r="C28" i="15" s="1"/>
  <c r="F28" i="15" s="1"/>
  <c r="K30" i="13"/>
  <c r="I30" i="13"/>
  <c r="D31" i="13" s="1"/>
  <c r="F30" i="3"/>
  <c r="J30" i="3" s="1"/>
  <c r="K30" i="3"/>
  <c r="H25" i="19" l="1"/>
  <c r="C26" i="19" s="1"/>
  <c r="M25" i="19"/>
  <c r="K25" i="19"/>
  <c r="D26" i="18"/>
  <c r="L28" i="15"/>
  <c r="G28" i="15"/>
  <c r="J28" i="15"/>
  <c r="E28" i="15"/>
  <c r="F31" i="13"/>
  <c r="E31" i="13"/>
  <c r="H30" i="3"/>
  <c r="L30" i="3"/>
  <c r="M30" i="3" s="1"/>
  <c r="D31" i="3" s="1"/>
  <c r="N30" i="3"/>
  <c r="C31" i="3" s="1"/>
  <c r="I25" i="19" l="1"/>
  <c r="D26" i="19" s="1"/>
  <c r="E26" i="18"/>
  <c r="L26" i="18" s="1"/>
  <c r="F26" i="18"/>
  <c r="K28" i="15"/>
  <c r="M28" i="15"/>
  <c r="H28" i="15"/>
  <c r="C29" i="15" s="1"/>
  <c r="J31" i="13"/>
  <c r="G31" i="13"/>
  <c r="H31" i="13"/>
  <c r="C32" i="13" s="1"/>
  <c r="G31" i="3"/>
  <c r="E31" i="3"/>
  <c r="I31" i="3"/>
  <c r="F26" i="19" l="1"/>
  <c r="E26" i="19"/>
  <c r="G26" i="18"/>
  <c r="J26" i="18"/>
  <c r="H26" i="18" s="1"/>
  <c r="I28" i="15"/>
  <c r="D29" i="15" s="1"/>
  <c r="F29" i="15" s="1"/>
  <c r="K31" i="13"/>
  <c r="I31" i="13"/>
  <c r="D32" i="13" s="1"/>
  <c r="E32" i="13" s="1"/>
  <c r="F31" i="3"/>
  <c r="H31" i="3" s="1"/>
  <c r="K31" i="3"/>
  <c r="G26" i="19" l="1"/>
  <c r="J26" i="19"/>
  <c r="L26" i="19"/>
  <c r="C27" i="18"/>
  <c r="K26" i="18"/>
  <c r="I26" i="18" s="1"/>
  <c r="E29" i="15"/>
  <c r="J29" i="15"/>
  <c r="L29" i="15"/>
  <c r="G29" i="15"/>
  <c r="K29" i="15" s="1"/>
  <c r="F32" i="13"/>
  <c r="J31" i="3"/>
  <c r="L31" i="3"/>
  <c r="M31" i="3" s="1"/>
  <c r="D32" i="3" s="1"/>
  <c r="N31" i="3"/>
  <c r="C32" i="3" s="1"/>
  <c r="H26" i="19" l="1"/>
  <c r="C27" i="19" s="1"/>
  <c r="M26" i="19"/>
  <c r="K26" i="19"/>
  <c r="D27" i="18"/>
  <c r="H29" i="15"/>
  <c r="C30" i="15" s="1"/>
  <c r="M29" i="15"/>
  <c r="I29" i="15" s="1"/>
  <c r="D30" i="15" s="1"/>
  <c r="J32" i="13"/>
  <c r="G32" i="13"/>
  <c r="H32" i="13"/>
  <c r="G32" i="3"/>
  <c r="E32" i="3"/>
  <c r="I32" i="3"/>
  <c r="I26" i="19" l="1"/>
  <c r="D27" i="19" s="1"/>
  <c r="E27" i="19" s="1"/>
  <c r="E27" i="18"/>
  <c r="L27" i="18" s="1"/>
  <c r="F27" i="18"/>
  <c r="F30" i="15"/>
  <c r="E30" i="15"/>
  <c r="K32" i="13"/>
  <c r="I32" i="13"/>
  <c r="F32" i="3"/>
  <c r="F33" i="3" s="1"/>
  <c r="K32" i="3"/>
  <c r="F27" i="19" l="1"/>
  <c r="G27" i="18"/>
  <c r="J27" i="18"/>
  <c r="H27" i="18" s="1"/>
  <c r="J30" i="15"/>
  <c r="G30" i="15"/>
  <c r="L30" i="15"/>
  <c r="J32" i="3"/>
  <c r="H32" i="3"/>
  <c r="L32" i="3"/>
  <c r="K33" i="3"/>
  <c r="N32" i="3"/>
  <c r="G27" i="19" l="1"/>
  <c r="J27" i="19"/>
  <c r="L27" i="19"/>
  <c r="C28" i="18"/>
  <c r="K27" i="18"/>
  <c r="I27" i="18" s="1"/>
  <c r="M30" i="15"/>
  <c r="K30" i="15"/>
  <c r="H30" i="15"/>
  <c r="C31" i="15" s="1"/>
  <c r="L33" i="3"/>
  <c r="M32" i="3"/>
  <c r="H27" i="19" l="1"/>
  <c r="C28" i="19" s="1"/>
  <c r="M27" i="19"/>
  <c r="K27" i="19"/>
  <c r="D28" i="18"/>
  <c r="I30" i="15"/>
  <c r="D31" i="15" s="1"/>
  <c r="I27" i="19" l="1"/>
  <c r="D28" i="19" s="1"/>
  <c r="E28" i="19" s="1"/>
  <c r="E28" i="18"/>
  <c r="L28" i="18" s="1"/>
  <c r="F28" i="18"/>
  <c r="E31" i="15"/>
  <c r="F31" i="15"/>
  <c r="F28" i="19" l="1"/>
  <c r="G28" i="18"/>
  <c r="J28" i="18"/>
  <c r="H28" i="18" s="1"/>
  <c r="G31" i="15"/>
  <c r="L31" i="15"/>
  <c r="J31" i="15"/>
  <c r="G28" i="19" l="1"/>
  <c r="J28" i="19"/>
  <c r="L28" i="19"/>
  <c r="C29" i="18"/>
  <c r="K28" i="18"/>
  <c r="I28" i="18" s="1"/>
  <c r="H31" i="15"/>
  <c r="C32" i="15" s="1"/>
  <c r="K31" i="15"/>
  <c r="M31" i="15"/>
  <c r="H28" i="19" l="1"/>
  <c r="C29" i="19" s="1"/>
  <c r="M28" i="19"/>
  <c r="K28" i="19"/>
  <c r="D29" i="18"/>
  <c r="I31" i="15"/>
  <c r="D32" i="15" s="1"/>
  <c r="F32" i="15" s="1"/>
  <c r="J32" i="15" s="1"/>
  <c r="I28" i="19" l="1"/>
  <c r="D29" i="19" s="1"/>
  <c r="E29" i="19" s="1"/>
  <c r="F29" i="18"/>
  <c r="E29" i="18"/>
  <c r="L29" i="18" s="1"/>
  <c r="E32" i="15"/>
  <c r="G32" i="15"/>
  <c r="K32" i="15" s="1"/>
  <c r="L32" i="15"/>
  <c r="H32" i="15" s="1"/>
  <c r="F29" i="19" l="1"/>
  <c r="G29" i="18"/>
  <c r="J29" i="18"/>
  <c r="H29" i="18" s="1"/>
  <c r="M32" i="15"/>
  <c r="I32" i="15" s="1"/>
  <c r="G29" i="19" l="1"/>
  <c r="J29" i="19"/>
  <c r="L29" i="19"/>
  <c r="C30" i="18"/>
  <c r="K29" i="18"/>
  <c r="I29" i="18" s="1"/>
  <c r="H29" i="19" l="1"/>
  <c r="C30" i="19" s="1"/>
  <c r="M29" i="19"/>
  <c r="K29" i="19"/>
  <c r="D30" i="18"/>
  <c r="I29" i="19" l="1"/>
  <c r="D30" i="19" s="1"/>
  <c r="E30" i="19" s="1"/>
  <c r="E30" i="18"/>
  <c r="L30" i="18" s="1"/>
  <c r="F30" i="18"/>
  <c r="F30" i="19" l="1"/>
  <c r="G30" i="18"/>
  <c r="J30" i="18"/>
  <c r="H30" i="18" s="1"/>
  <c r="G30" i="19" l="1"/>
  <c r="L30" i="19"/>
  <c r="J30" i="19"/>
  <c r="C31" i="18"/>
  <c r="K30" i="18"/>
  <c r="I30" i="18" s="1"/>
  <c r="H30" i="19" l="1"/>
  <c r="C31" i="19" s="1"/>
  <c r="M30" i="19"/>
  <c r="K30" i="19"/>
  <c r="D31" i="18"/>
  <c r="I30" i="19" l="1"/>
  <c r="D31" i="19" s="1"/>
  <c r="E31" i="19" s="1"/>
  <c r="E31" i="18"/>
  <c r="L31" i="18" s="1"/>
  <c r="F31" i="18"/>
  <c r="F31" i="19" l="1"/>
  <c r="G31" i="18"/>
  <c r="J31" i="18"/>
  <c r="H31" i="18" s="1"/>
  <c r="G31" i="19" l="1"/>
  <c r="J31" i="19"/>
  <c r="L31" i="19"/>
  <c r="C32" i="18"/>
  <c r="K31" i="18"/>
  <c r="I31" i="18" s="1"/>
  <c r="H31" i="19" l="1"/>
  <c r="C32" i="19" s="1"/>
  <c r="M31" i="19"/>
  <c r="K31" i="19"/>
  <c r="D32" i="18"/>
  <c r="I31" i="19" l="1"/>
  <c r="D32" i="19" s="1"/>
  <c r="E32" i="19" s="1"/>
  <c r="F32" i="18"/>
  <c r="E32" i="18"/>
  <c r="L32" i="18" s="1"/>
  <c r="L33" i="18" s="1"/>
  <c r="F32" i="19" l="1"/>
  <c r="F33" i="19" s="1"/>
  <c r="G32" i="18"/>
  <c r="J32" i="18"/>
  <c r="H32" i="18" s="1"/>
  <c r="G32" i="19" l="1"/>
  <c r="G33" i="19" s="1"/>
  <c r="J32" i="19"/>
  <c r="L32" i="19"/>
  <c r="K32" i="18"/>
  <c r="I32" i="18" s="1"/>
  <c r="N34" i="19" l="1"/>
  <c r="H32" i="19"/>
  <c r="M32" i="19"/>
  <c r="K32" i="19"/>
  <c r="I32" i="19" l="1"/>
</calcChain>
</file>

<file path=xl/sharedStrings.xml><?xml version="1.0" encoding="utf-8"?>
<sst xmlns="http://schemas.openxmlformats.org/spreadsheetml/2006/main" count="112" uniqueCount="56">
  <si>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</si>
  <si>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</si>
  <si>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</si>
  <si>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</si>
  <si>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</si>
  <si>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</si>
  <si>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</si>
  <si>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</si>
  <si>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</si>
  <si>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</si>
  <si>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</si>
  <si>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</si>
  <si>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</si>
  <si>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</si>
  <si>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</si>
  <si>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</si>
  <si>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</si>
  <si>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</si>
  <si>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</si>
  <si>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</si>
  <si>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</si>
  <si>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</si>
  <si>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</si>
  <si>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</si>
  <si>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</si>
  <si>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What is this spreadsheet about?</t>
  </si>
  <si>
    <t>This spreadsheet explores different flavors/variations of Stochastic Gradient Descent, the key optimization method used in Deep Learning.</t>
  </si>
  <si>
    <t>To keep things simple, instead of working with neural networks here, we will use a simple linear model (y=ax+b). However, the optimization methods are the same for NNs.</t>
  </si>
  <si>
    <t>Make a copy of this spreadsheet in order to edit and save it. Note that macros only work on 'basic SGD' sheet for now.</t>
  </si>
  <si>
    <t>Goal: We want to create a model so that we can predict y when we're given x.</t>
  </si>
  <si>
    <t>To build the model, we are given training data x, y and we want to find an optimal a, b to create a model of the form y = ax + b.</t>
  </si>
  <si>
    <t>The key idea of SGD:</t>
  </si>
  <si>
    <t>1. Randomly choose some weights to start.</t>
  </si>
  <si>
    <t>2. Use those weights to calculate a prediciton, calculate the error/loss, and then update those weights.</t>
  </si>
  <si>
    <t>3. Repeat step 2 lots of times. Eventually we end up with some decent weights.</t>
  </si>
  <si>
    <t>How does this relate to NNs? To make an analogy with CNNs: x would be our images, y would be the dog/cat labels, and a and b are the weights.</t>
  </si>
  <si>
    <t>We are trying to find the optimal weights (a, b). We use the same optimization methods to find weights for our NNs.</t>
  </si>
  <si>
    <t>Overview of the sheets in this notebook:</t>
  </si>
  <si>
    <t>data:</t>
  </si>
  <si>
    <t>Here we randomly generate some training data x and y that we will use on the other sheets. In the real world, you would get your x and y data from another source. In our CNN, x is the image data and y is the category (dog or cat).</t>
  </si>
  <si>
    <t>We create our data by arbitrarily choosing a and b (a=2, b=30), randomly generating x, and then calculating y = ax + b. We are going to pretend we don't know the true values of a and b, and see if our optimization algorithms help us find them.</t>
  </si>
  <si>
    <t>We can get a sense of how good our answers are, since really we know what the "true" a and b are.</t>
  </si>
  <si>
    <t>basic SGD:</t>
  </si>
  <si>
    <t>This is the most basic, vanilla form of stochastic gradient descent. If we were doing gradient descent (not stochastic!), we would evaluate our error on all our data, and then update the weights a, b.</t>
  </si>
  <si>
    <t>What makes it stochastic is that we're just evaluating the error on a subset of our data (in this case, a single data point. For NNs, this is called our "mini-batch") and then updating the weights.</t>
  </si>
  <si>
    <t>momentum:</t>
  </si>
  <si>
    <t>Accelerate SGD in the relevant direction and dampen side-to-side oscillations</t>
  </si>
  <si>
    <t>It does this by combining a decaying average of previous gradients with the current gradient</t>
  </si>
  <si>
    <t>rmsprop:</t>
  </si>
  <si>
    <t>Adapts the learning rate by dividing by exponentially decaying average of squared gradients</t>
  </si>
  <si>
    <t>adam:</t>
  </si>
  <si>
    <t>rmsprop + momentum</t>
  </si>
  <si>
    <t>adam_ann:</t>
  </si>
  <si>
    <t>adam with learning rate annealling</t>
  </si>
  <si>
    <t>On each sheet, click 'reset' to return the a and b guesses to 1.</t>
  </si>
  <si>
    <t>Click 'run' to copy the last row's updated a and b guesses to the top row, and recalculate, a few times. (Each is effectively one epoch)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</si>
</sst>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sz val="14"/>
      <color rgb="FF000000"/>
      <name val="Calibri"/>
      <family val="2"/>
      <scheme val="minor"/>
    </font>
    <font>
      <sz val="14"/>
      <color rgb="FF000000"/>
      <name val="Calibri"/>
      <family val="2"/>
      <scheme val="minor"/>
    </font>
  </fonts>
  <fills count="2">
    <fill>
      <patternFill patternType="none"/>
    </fill>
    <fill>
      <patternFill patternType="gray125"/>
    </fill>
  </fills>
  <borders count="6">
    <border>
      <left/>
      <right/>
      <top/>
      <bottom/>
      <diagonal/>
    </border>
    <border>
      <left/>
      <right/>
      <top/>
      <bottom style="medium">
        <color rgb="FF000000"/>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1">
    <xf numFmtId="0" fontId="0" fillId="0" borderId="0"/>
  </cellStyleXfs>
  <cellXfs count="23">
    <xf numFmtId="0" fontId="0" fillId="0" borderId="0" xfId="0"/>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applyAlignment="1">
      <alignment vertical="center"/>
    </xf>
    <xf numFmtId="0" fontId="0" fillId="0" borderId="0" xfId="0" applyAlignment="1">
      <alignment wrapText="1"/>
    </xf>
    <xf numFmtId="0" fontId="5" fillId="0" borderId="0" xfId="0" applyFont="1" applyAlignment="1">
      <alignment vertical="center"/>
    </xf>
    <xf numFmtId="0" fontId="5" fillId="0" borderId="0" xfId="0" applyFont="1" applyAlignment="1">
      <alignment wrapText="1"/>
    </xf>
    <xf numFmtId="0" fontId="4" fillId="0" borderId="0" xfId="0" applyFont="1" applyAlignment="1">
      <alignment wrapText="1"/>
    </xf>
    <xf numFmtId="0" fontId="4" fillId="0" borderId="1" xfId="0" applyFont="1" applyBorder="1" applyAlignment="1">
      <alignment vertical="center"/>
    </xf>
    <xf numFmtId="0" fontId="0" fillId="0" borderId="1" xfId="0" applyBorder="1" applyAlignment="1">
      <alignment wrapText="1"/>
    </xf>
    <xf numFmtId="0" fontId="0" fillId="0" borderId="2" xfId="0" applyBorder="1" applyAlignment="1">
      <alignment wrapText="1"/>
    </xf>
    <xf numFmtId="0" fontId="5" fillId="0" borderId="2" xfId="0" applyFont="1" applyBorder="1" applyAlignment="1">
      <alignment wrapText="1"/>
    </xf>
    <xf numFmtId="0" fontId="5" fillId="0" borderId="3" xfId="0" applyFont="1" applyBorder="1" applyAlignment="1">
      <alignment wrapText="1"/>
    </xf>
    <xf numFmtId="0" fontId="0" fillId="0" borderId="4" xfId="0" applyBorder="1" applyAlignment="1">
      <alignment wrapText="1"/>
    </xf>
    <xf numFmtId="0" fontId="5" fillId="0" borderId="5" xfId="0" applyFont="1" applyBorder="1" applyAlignment="1">
      <alignment wrapText="1"/>
    </xf>
    <xf numFmtId="0" fontId="5" fillId="0" borderId="4"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basic!$C$38:$C$62</c:f>
              <c:numCache>
                <c:formatCode>General</c:formatCode>
                <c:ptCount val="25"/>
                <c:pt idx="0">
                  <c:v>104.74921026693299</c:v>
                </c:pt>
                <c:pt idx="1">
                  <c:v>104.55969980561993</c:v>
                </c:pt>
                <c:pt idx="2">
                  <c:v>104.37053295106034</c:v>
                </c:pt>
                <c:pt idx="3">
                  <c:v>104.18170833255277</c:v>
                </c:pt>
                <c:pt idx="4">
                  <c:v>103.99322533093216</c:v>
                </c:pt>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marker val="1"/>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4763</xdr:rowOff>
        </xdr:from>
        <xdr:to>
          <xdr:col>0</xdr:col>
          <xdr:colOff>500063</xdr:colOff>
          <xdr:row>1</xdr:row>
          <xdr:rowOff>204788</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Run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19050</xdr:rowOff>
        </xdr:from>
        <xdr:to>
          <xdr:col>0</xdr:col>
          <xdr:colOff>500063</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14288</xdr:colOff>
          <xdr:row>0</xdr:row>
          <xdr:rowOff>14288</xdr:rowOff>
        </xdr:from>
        <xdr:to>
          <xdr:col>0</xdr:col>
          <xdr:colOff>642938</xdr:colOff>
          <xdr:row>0</xdr:row>
          <xdr:rowOff>176213</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14288</xdr:colOff>
          <xdr:row>1</xdr:row>
          <xdr:rowOff>14288</xdr:rowOff>
        </xdr:from>
        <xdr:to>
          <xdr:col>0</xdr:col>
          <xdr:colOff>642938</xdr:colOff>
          <xdr:row>1</xdr:row>
          <xdr:rowOff>176213</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14288</xdr:colOff>
          <xdr:row>0</xdr:row>
          <xdr:rowOff>14288</xdr:rowOff>
        </xdr:from>
        <xdr:to>
          <xdr:col>0</xdr:col>
          <xdr:colOff>642938</xdr:colOff>
          <xdr:row>0</xdr:row>
          <xdr:rowOff>176213</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14288</xdr:colOff>
          <xdr:row>1</xdr:row>
          <xdr:rowOff>14288</xdr:rowOff>
        </xdr:from>
        <xdr:to>
          <xdr:col>0</xdr:col>
          <xdr:colOff>642938</xdr:colOff>
          <xdr:row>1</xdr:row>
          <xdr:rowOff>176213</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14288</xdr:colOff>
          <xdr:row>0</xdr:row>
          <xdr:rowOff>14288</xdr:rowOff>
        </xdr:from>
        <xdr:to>
          <xdr:col>0</xdr:col>
          <xdr:colOff>642938</xdr:colOff>
          <xdr:row>0</xdr:row>
          <xdr:rowOff>176213</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14288</xdr:colOff>
          <xdr:row>1</xdr:row>
          <xdr:rowOff>14288</xdr:rowOff>
        </xdr:from>
        <xdr:to>
          <xdr:col>0</xdr:col>
          <xdr:colOff>642938</xdr:colOff>
          <xdr:row>1</xdr:row>
          <xdr:rowOff>176213</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14288</xdr:colOff>
          <xdr:row>0</xdr:row>
          <xdr:rowOff>14288</xdr:rowOff>
        </xdr:from>
        <xdr:to>
          <xdr:col>0</xdr:col>
          <xdr:colOff>642938</xdr:colOff>
          <xdr:row>0</xdr:row>
          <xdr:rowOff>176213</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600-000001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14288</xdr:colOff>
          <xdr:row>1</xdr:row>
          <xdr:rowOff>14288</xdr:rowOff>
        </xdr:from>
        <xdr:to>
          <xdr:col>0</xdr:col>
          <xdr:colOff>642938</xdr:colOff>
          <xdr:row>1</xdr:row>
          <xdr:rowOff>176213</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600-000002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7F277-A202-4DD8-85CE-DE359A65F40B}">
  <dimension ref="A1:B30"/>
  <sheetViews>
    <sheetView tabSelected="1" topLeftCell="A9" workbookViewId="0">
      <selection activeCell="A31" sqref="A31"/>
    </sheetView>
  </sheetViews>
  <sheetFormatPr defaultRowHeight="14.25" x14ac:dyDescent="0.45"/>
  <cols>
    <col min="1" max="1" width="19.19921875" customWidth="1"/>
    <col min="2" max="2" width="122.33203125" customWidth="1"/>
  </cols>
  <sheetData>
    <row r="1" spans="1:2" ht="18" x14ac:dyDescent="0.45">
      <c r="A1" s="10" t="s">
        <v>25</v>
      </c>
      <c r="B1" s="11"/>
    </row>
    <row r="2" spans="1:2" ht="18" x14ac:dyDescent="0.45">
      <c r="A2" s="12" t="s">
        <v>26</v>
      </c>
      <c r="B2" s="11"/>
    </row>
    <row r="3" spans="1:2" ht="18" x14ac:dyDescent="0.45">
      <c r="A3" s="12" t="s">
        <v>27</v>
      </c>
      <c r="B3" s="11"/>
    </row>
    <row r="4" spans="1:2" ht="18" x14ac:dyDescent="0.45">
      <c r="A4" s="12" t="s">
        <v>28</v>
      </c>
      <c r="B4" s="11"/>
    </row>
    <row r="5" spans="1:2" ht="18" x14ac:dyDescent="0.55000000000000004">
      <c r="A5" s="13"/>
      <c r="B5" s="11"/>
    </row>
    <row r="6" spans="1:2" ht="18" x14ac:dyDescent="0.45">
      <c r="A6" s="10" t="s">
        <v>29</v>
      </c>
      <c r="B6" s="11"/>
    </row>
    <row r="7" spans="1:2" ht="18" x14ac:dyDescent="0.45">
      <c r="A7" s="12" t="s">
        <v>30</v>
      </c>
      <c r="B7" s="11"/>
    </row>
    <row r="8" spans="1:2" ht="18" x14ac:dyDescent="0.55000000000000004">
      <c r="A8" s="14"/>
      <c r="B8" s="11"/>
    </row>
    <row r="9" spans="1:2" ht="18" x14ac:dyDescent="0.45">
      <c r="A9" s="10" t="s">
        <v>31</v>
      </c>
      <c r="B9" s="11"/>
    </row>
    <row r="10" spans="1:2" ht="18" x14ac:dyDescent="0.45">
      <c r="A10" s="12" t="s">
        <v>32</v>
      </c>
      <c r="B10" s="11"/>
    </row>
    <row r="11" spans="1:2" ht="18" x14ac:dyDescent="0.45">
      <c r="A11" s="12" t="s">
        <v>33</v>
      </c>
      <c r="B11" s="11"/>
    </row>
    <row r="12" spans="1:2" ht="18" x14ac:dyDescent="0.45">
      <c r="A12" s="12" t="s">
        <v>34</v>
      </c>
      <c r="B12" s="11"/>
    </row>
    <row r="13" spans="1:2" ht="18" x14ac:dyDescent="0.55000000000000004">
      <c r="A13" s="14"/>
      <c r="B13" s="11"/>
    </row>
    <row r="14" spans="1:2" ht="18" x14ac:dyDescent="0.45">
      <c r="A14" s="12" t="s">
        <v>35</v>
      </c>
      <c r="B14" s="11"/>
    </row>
    <row r="15" spans="1:2" ht="18" x14ac:dyDescent="0.45">
      <c r="A15" s="12" t="s">
        <v>36</v>
      </c>
      <c r="B15" s="11"/>
    </row>
    <row r="16" spans="1:2" ht="18" x14ac:dyDescent="0.55000000000000004">
      <c r="A16" s="14"/>
      <c r="B16" s="11"/>
    </row>
    <row r="17" spans="1:2" ht="18.399999999999999" thickBot="1" x14ac:dyDescent="0.5">
      <c r="A17" s="15" t="s">
        <v>37</v>
      </c>
      <c r="B17" s="16"/>
    </row>
    <row r="18" spans="1:2" ht="36" x14ac:dyDescent="0.55000000000000004">
      <c r="A18" s="18" t="s">
        <v>38</v>
      </c>
      <c r="B18" s="19" t="s">
        <v>39</v>
      </c>
    </row>
    <row r="19" spans="1:2" ht="54" x14ac:dyDescent="0.55000000000000004">
      <c r="A19" s="17"/>
      <c r="B19" s="19" t="s">
        <v>40</v>
      </c>
    </row>
    <row r="20" spans="1:2" ht="18.399999999999999" thickBot="1" x14ac:dyDescent="0.6">
      <c r="A20" s="20"/>
      <c r="B20" s="21" t="s">
        <v>41</v>
      </c>
    </row>
    <row r="21" spans="1:2" ht="36" x14ac:dyDescent="0.55000000000000004">
      <c r="A21" s="18" t="s">
        <v>42</v>
      </c>
      <c r="B21" s="19" t="s">
        <v>43</v>
      </c>
    </row>
    <row r="22" spans="1:2" ht="36.4" thickBot="1" x14ac:dyDescent="0.6">
      <c r="A22" s="20"/>
      <c r="B22" s="21" t="s">
        <v>44</v>
      </c>
    </row>
    <row r="23" spans="1:2" ht="18" x14ac:dyDescent="0.55000000000000004">
      <c r="A23" s="18" t="s">
        <v>45</v>
      </c>
      <c r="B23" s="19" t="s">
        <v>46</v>
      </c>
    </row>
    <row r="24" spans="1:2" ht="18.399999999999999" thickBot="1" x14ac:dyDescent="0.6">
      <c r="A24" s="20"/>
      <c r="B24" s="21" t="s">
        <v>47</v>
      </c>
    </row>
    <row r="25" spans="1:2" ht="18.399999999999999" thickBot="1" x14ac:dyDescent="0.6">
      <c r="A25" s="22" t="s">
        <v>48</v>
      </c>
      <c r="B25" s="21" t="s">
        <v>49</v>
      </c>
    </row>
    <row r="26" spans="1:2" ht="18.399999999999999" thickBot="1" x14ac:dyDescent="0.6">
      <c r="A26" s="22" t="s">
        <v>50</v>
      </c>
      <c r="B26" s="21" t="s">
        <v>51</v>
      </c>
    </row>
    <row r="27" spans="1:2" ht="18.399999999999999" thickBot="1" x14ac:dyDescent="0.6">
      <c r="A27" s="22" t="s">
        <v>52</v>
      </c>
      <c r="B27" s="21" t="s">
        <v>53</v>
      </c>
    </row>
    <row r="28" spans="1:2" ht="18" x14ac:dyDescent="0.55000000000000004">
      <c r="A28" s="14"/>
      <c r="B28" s="11"/>
    </row>
    <row r="29" spans="1:2" ht="18" x14ac:dyDescent="0.55000000000000004">
      <c r="A29" s="14"/>
      <c r="B29" s="11" t="s">
        <v>54</v>
      </c>
    </row>
    <row r="30" spans="1:2" ht="18" x14ac:dyDescent="0.55000000000000004">
      <c r="A30" s="14"/>
      <c r="B30" s="11"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ata"/>
  <dimension ref="A1:C33"/>
  <sheetViews>
    <sheetView zoomScale="130" zoomScaleNormal="130" workbookViewId="0"/>
  </sheetViews>
  <sheetFormatPr defaultRowHeight="14.25" x14ac:dyDescent="0.45"/>
  <sheetData>
    <row r="1" spans="1:3" x14ac:dyDescent="0.45">
      <c r="A1" t="s">
        <v>21</v>
      </c>
      <c r="B1" t="s">
        <v>23</v>
      </c>
      <c r="C1">
        <v>30</v>
      </c>
    </row>
    <row r="2" spans="1:3" x14ac:dyDescent="0.45">
      <c r="A2" t="s">
        <v>22</v>
      </c>
      <c r="B2" t="s">
        <v>0</v>
      </c>
      <c r="C2">
        <v>2</v>
      </c>
    </row>
    <row r="4" spans="1:3" x14ac:dyDescent="0.45">
      <c r="B4" s="1" t="s">
        <v>15</v>
      </c>
      <c r="C4" s="1" t="s">
        <v>16</v>
      </c>
    </row>
    <row r="5" spans="1:3" x14ac:dyDescent="0.45">
      <c r="B5">
        <f t="shared" ref="B5:B33" ca="1" si="0">RANDBETWEEN(1,100)</f>
        <v>84</v>
      </c>
      <c r="C5">
        <f ca="1">$C$1+B5*$C$2</f>
        <v>198</v>
      </c>
    </row>
    <row r="6" spans="1:3" x14ac:dyDescent="0.45">
      <c r="B6">
        <f t="shared" ca="1" si="0"/>
        <v>93</v>
      </c>
      <c r="C6">
        <f t="shared" ref="C6:C33" ca="1" si="1">$C$1+B6*$C$2</f>
        <v>216</v>
      </c>
    </row>
    <row r="7" spans="1:3" x14ac:dyDescent="0.45">
      <c r="B7">
        <f t="shared" ca="1" si="0"/>
        <v>4</v>
      </c>
      <c r="C7">
        <f t="shared" ca="1" si="1"/>
        <v>38</v>
      </c>
    </row>
    <row r="8" spans="1:3" x14ac:dyDescent="0.45">
      <c r="B8">
        <f t="shared" ca="1" si="0"/>
        <v>62</v>
      </c>
      <c r="C8">
        <f t="shared" ca="1" si="1"/>
        <v>154</v>
      </c>
    </row>
    <row r="9" spans="1:3" x14ac:dyDescent="0.45">
      <c r="B9">
        <f t="shared" ca="1" si="0"/>
        <v>5</v>
      </c>
      <c r="C9">
        <f t="shared" ca="1" si="1"/>
        <v>40</v>
      </c>
    </row>
    <row r="10" spans="1:3" x14ac:dyDescent="0.45">
      <c r="B10">
        <f t="shared" ca="1" si="0"/>
        <v>78</v>
      </c>
      <c r="C10">
        <f t="shared" ca="1" si="1"/>
        <v>186</v>
      </c>
    </row>
    <row r="11" spans="1:3" x14ac:dyDescent="0.45">
      <c r="B11">
        <f t="shared" ca="1" si="0"/>
        <v>99</v>
      </c>
      <c r="C11">
        <f t="shared" ca="1" si="1"/>
        <v>228</v>
      </c>
    </row>
    <row r="12" spans="1:3" x14ac:dyDescent="0.45">
      <c r="B12">
        <f t="shared" ca="1" si="0"/>
        <v>62</v>
      </c>
      <c r="C12">
        <f t="shared" ca="1" si="1"/>
        <v>154</v>
      </c>
    </row>
    <row r="13" spans="1:3" x14ac:dyDescent="0.45">
      <c r="B13">
        <f t="shared" ca="1" si="0"/>
        <v>29</v>
      </c>
      <c r="C13">
        <f t="shared" ca="1" si="1"/>
        <v>88</v>
      </c>
    </row>
    <row r="14" spans="1:3" x14ac:dyDescent="0.45">
      <c r="B14">
        <f t="shared" ca="1" si="0"/>
        <v>45</v>
      </c>
      <c r="C14">
        <f t="shared" ca="1" si="1"/>
        <v>120</v>
      </c>
    </row>
    <row r="15" spans="1:3" x14ac:dyDescent="0.45">
      <c r="B15">
        <f t="shared" ca="1" si="0"/>
        <v>86</v>
      </c>
      <c r="C15">
        <f t="shared" ca="1" si="1"/>
        <v>202</v>
      </c>
    </row>
    <row r="16" spans="1:3" x14ac:dyDescent="0.45">
      <c r="B16">
        <f t="shared" ca="1" si="0"/>
        <v>15</v>
      </c>
      <c r="C16">
        <f t="shared" ca="1" si="1"/>
        <v>60</v>
      </c>
    </row>
    <row r="17" spans="2:3" x14ac:dyDescent="0.45">
      <c r="B17">
        <f t="shared" ca="1" si="0"/>
        <v>7</v>
      </c>
      <c r="C17">
        <f t="shared" ca="1" si="1"/>
        <v>44</v>
      </c>
    </row>
    <row r="18" spans="2:3" x14ac:dyDescent="0.45">
      <c r="B18">
        <f t="shared" ca="1" si="0"/>
        <v>55</v>
      </c>
      <c r="C18">
        <f t="shared" ca="1" si="1"/>
        <v>140</v>
      </c>
    </row>
    <row r="19" spans="2:3" x14ac:dyDescent="0.45">
      <c r="B19">
        <f t="shared" ca="1" si="0"/>
        <v>94</v>
      </c>
      <c r="C19">
        <f t="shared" ca="1" si="1"/>
        <v>218</v>
      </c>
    </row>
    <row r="20" spans="2:3" x14ac:dyDescent="0.45">
      <c r="B20">
        <f t="shared" ca="1" si="0"/>
        <v>51</v>
      </c>
      <c r="C20">
        <f t="shared" ca="1" si="1"/>
        <v>132</v>
      </c>
    </row>
    <row r="21" spans="2:3" x14ac:dyDescent="0.45">
      <c r="B21">
        <f t="shared" ca="1" si="0"/>
        <v>6</v>
      </c>
      <c r="C21">
        <f t="shared" ca="1" si="1"/>
        <v>42</v>
      </c>
    </row>
    <row r="22" spans="2:3" x14ac:dyDescent="0.45">
      <c r="B22">
        <f t="shared" ca="1" si="0"/>
        <v>96</v>
      </c>
      <c r="C22">
        <f t="shared" ca="1" si="1"/>
        <v>222</v>
      </c>
    </row>
    <row r="23" spans="2:3" x14ac:dyDescent="0.45">
      <c r="B23">
        <f t="shared" ca="1" si="0"/>
        <v>92</v>
      </c>
      <c r="C23">
        <f t="shared" ca="1" si="1"/>
        <v>214</v>
      </c>
    </row>
    <row r="24" spans="2:3" x14ac:dyDescent="0.45">
      <c r="B24">
        <f t="shared" ca="1" si="0"/>
        <v>70</v>
      </c>
      <c r="C24">
        <f t="shared" ca="1" si="1"/>
        <v>170</v>
      </c>
    </row>
    <row r="25" spans="2:3" x14ac:dyDescent="0.45">
      <c r="B25">
        <f t="shared" ca="1" si="0"/>
        <v>16</v>
      </c>
      <c r="C25">
        <f t="shared" ca="1" si="1"/>
        <v>62</v>
      </c>
    </row>
    <row r="26" spans="2:3" x14ac:dyDescent="0.45">
      <c r="B26">
        <f t="shared" ca="1" si="0"/>
        <v>49</v>
      </c>
      <c r="C26">
        <f t="shared" ca="1" si="1"/>
        <v>128</v>
      </c>
    </row>
    <row r="27" spans="2:3" x14ac:dyDescent="0.45">
      <c r="B27">
        <f t="shared" ca="1" si="0"/>
        <v>20</v>
      </c>
      <c r="C27">
        <f t="shared" ca="1" si="1"/>
        <v>70</v>
      </c>
    </row>
    <row r="28" spans="2:3" x14ac:dyDescent="0.45">
      <c r="B28">
        <f t="shared" ca="1" si="0"/>
        <v>3</v>
      </c>
      <c r="C28">
        <f t="shared" ca="1" si="1"/>
        <v>36</v>
      </c>
    </row>
    <row r="29" spans="2:3" x14ac:dyDescent="0.45">
      <c r="B29">
        <f t="shared" ca="1" si="0"/>
        <v>36</v>
      </c>
      <c r="C29">
        <f t="shared" ca="1" si="1"/>
        <v>102</v>
      </c>
    </row>
    <row r="30" spans="2:3" x14ac:dyDescent="0.45">
      <c r="B30">
        <f t="shared" ca="1" si="0"/>
        <v>86</v>
      </c>
      <c r="C30">
        <f t="shared" ca="1" si="1"/>
        <v>202</v>
      </c>
    </row>
    <row r="31" spans="2:3" x14ac:dyDescent="0.45">
      <c r="B31">
        <f t="shared" ca="1" si="0"/>
        <v>17</v>
      </c>
      <c r="C31">
        <f t="shared" ca="1" si="1"/>
        <v>64</v>
      </c>
    </row>
    <row r="32" spans="2:3" x14ac:dyDescent="0.45">
      <c r="B32">
        <f t="shared" ca="1" si="0"/>
        <v>24</v>
      </c>
      <c r="C32">
        <f t="shared" ca="1" si="1"/>
        <v>78</v>
      </c>
    </row>
    <row r="33" spans="2:3" x14ac:dyDescent="0.45">
      <c r="B33">
        <f t="shared" ca="1" si="0"/>
        <v>91</v>
      </c>
      <c r="C33">
        <f t="shared" ca="1" si="1"/>
        <v>212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asic"/>
  <dimension ref="A1:N42"/>
  <sheetViews>
    <sheetView zoomScale="130" zoomScaleNormal="130" workbookViewId="0">
      <pane ySplit="3" topLeftCell="A4" activePane="bottomLeft" state="frozen"/>
      <selection pane="bottomLeft" activeCell="A4" sqref="A4"/>
    </sheetView>
  </sheetViews>
  <sheetFormatPr defaultRowHeight="14.25" x14ac:dyDescent="0.45"/>
  <cols>
    <col min="1" max="1" width="7.06640625" customWidth="1"/>
    <col min="2" max="2" width="7.796875" bestFit="1" customWidth="1"/>
    <col min="3" max="3" width="8.796875" customWidth="1"/>
    <col min="4" max="4" width="7" customWidth="1"/>
    <col min="5" max="5" width="8.19921875" customWidth="1"/>
    <col min="6" max="6" width="9.46484375" customWidth="1"/>
    <col min="7" max="7" width="9.06640625" bestFit="1" customWidth="1"/>
    <col min="8" max="8" width="11.06640625" bestFit="1" customWidth="1"/>
    <col min="9" max="9" width="10.796875" customWidth="1"/>
    <col min="10" max="10" width="9.73046875" bestFit="1" customWidth="1"/>
    <col min="11" max="11" width="7.19921875" bestFit="1" customWidth="1"/>
    <col min="12" max="12" width="9.73046875" bestFit="1" customWidth="1"/>
    <col min="13" max="13" width="5.59765625" bestFit="1" customWidth="1"/>
    <col min="14" max="14" width="5.796875" bestFit="1" customWidth="1"/>
  </cols>
  <sheetData>
    <row r="1" spans="1:14" ht="17.45" customHeight="1" x14ac:dyDescent="0.45">
      <c r="B1" t="s">
        <v>19</v>
      </c>
      <c r="C1">
        <v>1.2754625002528799</v>
      </c>
      <c r="E1" t="s">
        <v>14</v>
      </c>
      <c r="F1">
        <v>1E-4</v>
      </c>
      <c r="I1" t="s">
        <v>5</v>
      </c>
    </row>
    <row r="2" spans="1:14" ht="17.45" customHeight="1" x14ac:dyDescent="0.45">
      <c r="B2" t="s">
        <v>0</v>
      </c>
      <c r="C2">
        <v>2.5699964698075251</v>
      </c>
      <c r="H2" t="s">
        <v>3</v>
      </c>
      <c r="I2" t="s">
        <v>4</v>
      </c>
    </row>
    <row r="3" spans="1:14" s="1" customFormat="1" x14ac:dyDescent="0.45">
      <c r="A3" s="1" t="s">
        <v>15</v>
      </c>
      <c r="B3" s="1" t="s">
        <v>16</v>
      </c>
      <c r="C3" s="1" t="s">
        <v>19</v>
      </c>
      <c r="D3" s="1" t="s">
        <v>0</v>
      </c>
      <c r="E3" s="1" t="s">
        <v>17</v>
      </c>
      <c r="F3" s="1" t="s">
        <v>1</v>
      </c>
      <c r="G3" s="1" t="s">
        <v>7</v>
      </c>
      <c r="H3" s="1" t="s">
        <v>10</v>
      </c>
      <c r="I3" s="1" t="s">
        <v>8</v>
      </c>
      <c r="J3" s="1" t="s">
        <v>11</v>
      </c>
      <c r="K3" s="1" t="s">
        <v>6</v>
      </c>
      <c r="L3" s="1" t="s">
        <v>9</v>
      </c>
      <c r="M3" s="1" t="s">
        <v>12</v>
      </c>
      <c r="N3" s="1" t="s">
        <v>13</v>
      </c>
    </row>
    <row r="4" spans="1:14" x14ac:dyDescent="0.45">
      <c r="A4">
        <v>14</v>
      </c>
      <c r="B4">
        <v>58</v>
      </c>
      <c r="C4">
        <f>C1</f>
        <v>1.2754625002528799</v>
      </c>
      <c r="D4">
        <f>C2</f>
        <v>2.5699964698075251</v>
      </c>
      <c r="E4">
        <f>C4+D4*A4</f>
        <v>37.255413077558231</v>
      </c>
      <c r="F4" s="2">
        <f>(B4-E4)^2</f>
        <v>430.33788658274204</v>
      </c>
      <c r="G4" s="2">
        <f>(((C4+0.01)+A4*D4)-B4)^2</f>
        <v>429.92309484429302</v>
      </c>
      <c r="H4" s="2">
        <f>(G4-F4)/0.01</f>
        <v>-41.479173844902562</v>
      </c>
      <c r="I4" s="2">
        <f>(((D4+0.01)*A4+C4)-B4)^2</f>
        <v>424.54900224445862</v>
      </c>
      <c r="J4" s="2">
        <f>(I4-F4)/0.01</f>
        <v>-578.88843382834239</v>
      </c>
      <c r="K4" s="2">
        <f>2*(E4-B4)</f>
        <v>-41.489173844883538</v>
      </c>
      <c r="L4" s="2">
        <f>K4*A4</f>
        <v>-580.84843382836948</v>
      </c>
      <c r="M4" s="2">
        <f>D4-L4*$F$1</f>
        <v>2.628081313190362</v>
      </c>
      <c r="N4" s="2">
        <f>C4-K4*$F$1</f>
        <v>1.2796114176373683</v>
      </c>
    </row>
    <row r="5" spans="1:14" x14ac:dyDescent="0.45">
      <c r="A5">
        <v>86</v>
      </c>
      <c r="B5">
        <v>202</v>
      </c>
      <c r="C5">
        <f>N4</f>
        <v>1.2796114176373683</v>
      </c>
      <c r="D5">
        <f>M4</f>
        <v>2.628081313190362</v>
      </c>
      <c r="E5">
        <f>C5+D5*A5</f>
        <v>227.29460435200849</v>
      </c>
      <c r="F5" s="2">
        <f t="shared" ref="F5:F32" si="0">(B5-E5)^2</f>
        <v>639.81700932464696</v>
      </c>
      <c r="G5" s="2">
        <f>(((C5+0.01)+A5*D5)-B5)^2</f>
        <v>640.32300141168662</v>
      </c>
      <c r="H5" s="2">
        <f>(G5-F5)/0.01</f>
        <v>50.599208703965814</v>
      </c>
      <c r="I5" s="2">
        <f>(((D5+0.01)*A5+C5)-B5)^2</f>
        <v>684.06332881010076</v>
      </c>
      <c r="J5" s="2">
        <f>(I5-F5)/0.01</f>
        <v>4424.6319485453796</v>
      </c>
      <c r="K5" s="2">
        <f t="shared" ref="K5:K32" si="1">2*(E5-B5)</f>
        <v>50.589208704016983</v>
      </c>
      <c r="L5" s="2">
        <f>K5*A5</f>
        <v>4350.6719485454605</v>
      </c>
      <c r="M5" s="2">
        <f t="shared" ref="M5:M32" si="2">D5-L5*$F$1</f>
        <v>2.1930141183358161</v>
      </c>
      <c r="N5" s="2">
        <f t="shared" ref="N5:N32" si="3">C5-K5*$F$1</f>
        <v>1.2745524967669666</v>
      </c>
    </row>
    <row r="6" spans="1:14" x14ac:dyDescent="0.45">
      <c r="A6">
        <v>28</v>
      </c>
      <c r="B6">
        <v>86</v>
      </c>
      <c r="C6">
        <f>N5</f>
        <v>1.2745524967669666</v>
      </c>
      <c r="D6">
        <f>M5</f>
        <v>2.1930141183358161</v>
      </c>
      <c r="E6">
        <f>C6+D6*A6</f>
        <v>62.678947810169817</v>
      </c>
      <c r="F6" s="2">
        <f t="shared" si="0"/>
        <v>543.87147524078318</v>
      </c>
      <c r="G6" s="2">
        <f t="shared" ref="G6:G32" si="4">(((C6+0.01)+A6*D6)-B6)^2</f>
        <v>543.4051541969867</v>
      </c>
      <c r="H6" s="2">
        <f t="shared" ref="H6:H32" si="5">(G6-F6)/0.01</f>
        <v>-46.632104379648354</v>
      </c>
      <c r="I6" s="2">
        <f t="shared" ref="I6:I32" si="6">(((D6+0.01)*A6+C6)-B6)^2</f>
        <v>530.89008601447858</v>
      </c>
      <c r="J6" s="2">
        <f t="shared" ref="J6:J32" si="7">(I6-F6)/0.01</f>
        <v>-1298.13892263046</v>
      </c>
      <c r="K6" s="2">
        <f t="shared" si="1"/>
        <v>-46.642104379660367</v>
      </c>
      <c r="L6" s="2">
        <f t="shared" ref="L6:L32" si="8">K6*A6</f>
        <v>-1305.9789226304902</v>
      </c>
      <c r="M6" s="2">
        <f t="shared" si="2"/>
        <v>2.3236120105988651</v>
      </c>
      <c r="N6" s="2">
        <f t="shared" si="3"/>
        <v>1.2792167072049325</v>
      </c>
    </row>
    <row r="7" spans="1:14" x14ac:dyDescent="0.45">
      <c r="A7">
        <v>51</v>
      </c>
      <c r="B7">
        <v>132</v>
      </c>
      <c r="C7">
        <f t="shared" ref="C7:C32" si="9">N6</f>
        <v>1.2792167072049325</v>
      </c>
      <c r="D7">
        <f t="shared" ref="D7:D32" si="10">M6</f>
        <v>2.3236120105988651</v>
      </c>
      <c r="E7">
        <f t="shared" ref="E7:E32" si="11">C7+D7*A7</f>
        <v>119.78342924774707</v>
      </c>
      <c r="F7" s="2">
        <f t="shared" si="0"/>
        <v>149.24460094480182</v>
      </c>
      <c r="G7" s="2">
        <f t="shared" si="4"/>
        <v>149.00036952975699</v>
      </c>
      <c r="H7" s="2">
        <f t="shared" si="5"/>
        <v>-24.42314150448226</v>
      </c>
      <c r="I7" s="2">
        <f t="shared" si="6"/>
        <v>137.04379877750438</v>
      </c>
      <c r="J7" s="2">
        <f t="shared" si="7"/>
        <v>-1220.0802167297438</v>
      </c>
      <c r="K7" s="2">
        <f t="shared" si="1"/>
        <v>-24.433141504505869</v>
      </c>
      <c r="L7" s="2">
        <f t="shared" si="8"/>
        <v>-1246.0902167297993</v>
      </c>
      <c r="M7" s="2">
        <f t="shared" si="2"/>
        <v>2.448221032271845</v>
      </c>
      <c r="N7" s="2">
        <f t="shared" si="3"/>
        <v>1.281660021355383</v>
      </c>
    </row>
    <row r="8" spans="1:14" x14ac:dyDescent="0.45">
      <c r="A8">
        <v>28</v>
      </c>
      <c r="B8">
        <v>86</v>
      </c>
      <c r="C8">
        <f t="shared" si="9"/>
        <v>1.281660021355383</v>
      </c>
      <c r="D8">
        <f t="shared" si="10"/>
        <v>2.448221032271845</v>
      </c>
      <c r="E8">
        <f t="shared" si="11"/>
        <v>69.831848924967034</v>
      </c>
      <c r="F8" s="2">
        <f t="shared" si="0"/>
        <v>261.40910918508968</v>
      </c>
      <c r="G8" s="2">
        <f t="shared" si="4"/>
        <v>261.08584616358883</v>
      </c>
      <c r="H8" s="2">
        <f t="shared" si="5"/>
        <v>-32.326302150084985</v>
      </c>
      <c r="I8" s="2">
        <f t="shared" si="6"/>
        <v>252.43334458307118</v>
      </c>
      <c r="J8" s="2">
        <f t="shared" si="7"/>
        <v>-897.57646020185007</v>
      </c>
      <c r="K8" s="2">
        <f t="shared" si="1"/>
        <v>-32.336302150065933</v>
      </c>
      <c r="L8" s="2">
        <f t="shared" si="8"/>
        <v>-905.41646020184612</v>
      </c>
      <c r="M8" s="2">
        <f t="shared" si="2"/>
        <v>2.5387626782920294</v>
      </c>
      <c r="N8" s="2">
        <f t="shared" si="3"/>
        <v>1.2848936515703897</v>
      </c>
    </row>
    <row r="9" spans="1:14" x14ac:dyDescent="0.45">
      <c r="A9">
        <v>29</v>
      </c>
      <c r="B9">
        <v>88</v>
      </c>
      <c r="C9">
        <f t="shared" si="9"/>
        <v>1.2848936515703897</v>
      </c>
      <c r="D9">
        <f t="shared" si="10"/>
        <v>2.5387626782920294</v>
      </c>
      <c r="E9">
        <f t="shared" si="11"/>
        <v>74.909011322039234</v>
      </c>
      <c r="F9" s="2">
        <f t="shared" si="0"/>
        <v>171.37398456649697</v>
      </c>
      <c r="G9" s="2">
        <f t="shared" si="4"/>
        <v>171.11226479293762</v>
      </c>
      <c r="H9" s="2">
        <f t="shared" si="5"/>
        <v>-26.171977355934928</v>
      </c>
      <c r="I9" s="2">
        <f t="shared" si="6"/>
        <v>163.86531113327993</v>
      </c>
      <c r="J9" s="2">
        <f t="shared" si="7"/>
        <v>-750.86734332170408</v>
      </c>
      <c r="K9" s="2">
        <f t="shared" si="1"/>
        <v>-26.181977355921532</v>
      </c>
      <c r="L9" s="2">
        <f t="shared" si="8"/>
        <v>-759.2773433217244</v>
      </c>
      <c r="M9" s="2">
        <f t="shared" si="2"/>
        <v>2.6146904126242019</v>
      </c>
      <c r="N9" s="2">
        <f t="shared" si="3"/>
        <v>1.2875118493059818</v>
      </c>
    </row>
    <row r="10" spans="1:14" x14ac:dyDescent="0.45">
      <c r="A10">
        <v>72</v>
      </c>
      <c r="B10">
        <v>174</v>
      </c>
      <c r="C10">
        <f t="shared" si="9"/>
        <v>1.2875118493059818</v>
      </c>
      <c r="D10">
        <f t="shared" si="10"/>
        <v>2.6146904126242019</v>
      </c>
      <c r="E10">
        <f t="shared" si="11"/>
        <v>189.54522155824853</v>
      </c>
      <c r="F10" s="2">
        <f t="shared" si="0"/>
        <v>241.65391329503478</v>
      </c>
      <c r="G10" s="2">
        <f t="shared" si="4"/>
        <v>241.96491772619947</v>
      </c>
      <c r="H10" s="2">
        <f t="shared" si="5"/>
        <v>31.100443116469023</v>
      </c>
      <c r="I10" s="2">
        <f t="shared" si="6"/>
        <v>264.55743233891172</v>
      </c>
      <c r="J10" s="2">
        <f t="shared" si="7"/>
        <v>2290.351904387694</v>
      </c>
      <c r="K10" s="2">
        <f t="shared" si="1"/>
        <v>31.090443116497056</v>
      </c>
      <c r="L10" s="2">
        <f t="shared" si="8"/>
        <v>2238.511904387788</v>
      </c>
      <c r="M10" s="2">
        <f t="shared" si="2"/>
        <v>2.3908392221854231</v>
      </c>
      <c r="N10" s="2">
        <f t="shared" si="3"/>
        <v>1.2844028049943321</v>
      </c>
    </row>
    <row r="11" spans="1:14" x14ac:dyDescent="0.45">
      <c r="A11">
        <v>62</v>
      </c>
      <c r="B11">
        <v>154</v>
      </c>
      <c r="C11">
        <f t="shared" si="9"/>
        <v>1.2844028049943321</v>
      </c>
      <c r="D11">
        <f t="shared" si="10"/>
        <v>2.3908392221854231</v>
      </c>
      <c r="E11">
        <f t="shared" si="11"/>
        <v>149.51643458049057</v>
      </c>
      <c r="F11" s="2">
        <f t="shared" si="0"/>
        <v>20.10235887102079</v>
      </c>
      <c r="G11" s="2">
        <f t="shared" si="4"/>
        <v>20.012787562630681</v>
      </c>
      <c r="H11" s="2">
        <f t="shared" si="5"/>
        <v>-8.9571308390109294</v>
      </c>
      <c r="I11" s="2">
        <f t="shared" si="6"/>
        <v>14.927137750829278</v>
      </c>
      <c r="J11" s="2">
        <f t="shared" si="7"/>
        <v>-517.52211201915122</v>
      </c>
      <c r="K11" s="2">
        <f t="shared" si="1"/>
        <v>-8.9671308390188642</v>
      </c>
      <c r="L11" s="2">
        <f t="shared" si="8"/>
        <v>-555.96211201916958</v>
      </c>
      <c r="M11" s="2">
        <f t="shared" si="2"/>
        <v>2.4464354333873399</v>
      </c>
      <c r="N11" s="2">
        <f t="shared" si="3"/>
        <v>1.2852995180782341</v>
      </c>
    </row>
    <row r="12" spans="1:14" x14ac:dyDescent="0.45">
      <c r="A12">
        <v>84</v>
      </c>
      <c r="B12">
        <v>198</v>
      </c>
      <c r="C12">
        <f t="shared" si="9"/>
        <v>1.2852995180782341</v>
      </c>
      <c r="D12">
        <f t="shared" si="10"/>
        <v>2.4464354333873399</v>
      </c>
      <c r="E12">
        <f t="shared" si="11"/>
        <v>206.78587592261479</v>
      </c>
      <c r="F12" s="2">
        <f t="shared" si="0"/>
        <v>77.191615727582331</v>
      </c>
      <c r="G12" s="2">
        <f t="shared" si="4"/>
        <v>77.367433246034466</v>
      </c>
      <c r="H12" s="2">
        <f t="shared" si="5"/>
        <v>17.581751845213489</v>
      </c>
      <c r="I12" s="2">
        <f t="shared" si="6"/>
        <v>92.657487277574702</v>
      </c>
      <c r="J12" s="2">
        <f t="shared" si="7"/>
        <v>1546.5871549992371</v>
      </c>
      <c r="K12" s="2">
        <f t="shared" si="1"/>
        <v>17.571751845229585</v>
      </c>
      <c r="L12" s="2">
        <f t="shared" si="8"/>
        <v>1476.0271549992851</v>
      </c>
      <c r="M12" s="2">
        <f t="shared" si="2"/>
        <v>2.2988327178874113</v>
      </c>
      <c r="N12" s="2">
        <f t="shared" si="3"/>
        <v>1.2835423428937112</v>
      </c>
    </row>
    <row r="13" spans="1:14" x14ac:dyDescent="0.45">
      <c r="A13">
        <v>15</v>
      </c>
      <c r="B13">
        <v>60</v>
      </c>
      <c r="C13">
        <f t="shared" si="9"/>
        <v>1.2835423428937112</v>
      </c>
      <c r="D13">
        <f t="shared" si="10"/>
        <v>2.2988327178874113</v>
      </c>
      <c r="E13">
        <f t="shared" si="11"/>
        <v>35.766033111204877</v>
      </c>
      <c r="F13" s="2">
        <f t="shared" si="0"/>
        <v>587.28515116721837</v>
      </c>
      <c r="G13" s="2">
        <f t="shared" si="4"/>
        <v>586.80057182944256</v>
      </c>
      <c r="H13" s="2">
        <f t="shared" si="5"/>
        <v>-48.457933777581275</v>
      </c>
      <c r="I13" s="2">
        <f t="shared" si="6"/>
        <v>580.03746110057989</v>
      </c>
      <c r="J13" s="2">
        <f t="shared" si="7"/>
        <v>-724.76900666384836</v>
      </c>
      <c r="K13" s="2">
        <f t="shared" si="1"/>
        <v>-48.467933777590247</v>
      </c>
      <c r="L13" s="2">
        <f t="shared" si="8"/>
        <v>-727.0190066638537</v>
      </c>
      <c r="M13" s="2">
        <f t="shared" si="2"/>
        <v>2.3715346185537967</v>
      </c>
      <c r="N13" s="2">
        <f t="shared" si="3"/>
        <v>1.2883891362714701</v>
      </c>
    </row>
    <row r="14" spans="1:14" x14ac:dyDescent="0.45">
      <c r="A14">
        <v>42</v>
      </c>
      <c r="B14">
        <v>114</v>
      </c>
      <c r="C14">
        <f t="shared" si="9"/>
        <v>1.2883891362714701</v>
      </c>
      <c r="D14">
        <f t="shared" si="10"/>
        <v>2.3715346185537967</v>
      </c>
      <c r="E14">
        <f t="shared" si="11"/>
        <v>100.89284311553094</v>
      </c>
      <c r="F14" s="2">
        <f t="shared" si="0"/>
        <v>171.79756159408475</v>
      </c>
      <c r="G14" s="2">
        <f t="shared" si="4"/>
        <v>171.53551845639561</v>
      </c>
      <c r="H14" s="2">
        <f t="shared" si="5"/>
        <v>-26.204313768914744</v>
      </c>
      <c r="I14" s="2">
        <f t="shared" si="6"/>
        <v>160.96394981113107</v>
      </c>
      <c r="J14" s="2">
        <f t="shared" si="7"/>
        <v>-1083.3611782953681</v>
      </c>
      <c r="K14" s="2">
        <f t="shared" si="1"/>
        <v>-26.214313768938126</v>
      </c>
      <c r="L14" s="2">
        <f t="shared" si="8"/>
        <v>-1101.0011782954014</v>
      </c>
      <c r="M14" s="2">
        <f t="shared" si="2"/>
        <v>2.4816347363833366</v>
      </c>
      <c r="N14" s="2">
        <f t="shared" si="3"/>
        <v>1.2910105676483639</v>
      </c>
    </row>
    <row r="15" spans="1:14" x14ac:dyDescent="0.45">
      <c r="A15">
        <v>62</v>
      </c>
      <c r="B15">
        <v>154</v>
      </c>
      <c r="C15">
        <f>N14</f>
        <v>1.2910105676483639</v>
      </c>
      <c r="D15">
        <f>M14</f>
        <v>2.4816347363833366</v>
      </c>
      <c r="E15">
        <f t="shared" si="11"/>
        <v>155.15236422341522</v>
      </c>
      <c r="F15" s="2">
        <f t="shared" si="0"/>
        <v>1.3279433034073611</v>
      </c>
      <c r="G15" s="2">
        <f t="shared" si="4"/>
        <v>1.3510905878757105</v>
      </c>
      <c r="H15" s="2">
        <f t="shared" si="5"/>
        <v>2.3147284468349349</v>
      </c>
      <c r="I15" s="2">
        <f t="shared" si="6"/>
        <v>3.1412749404422491</v>
      </c>
      <c r="J15" s="2">
        <f t="shared" si="7"/>
        <v>181.33316370348879</v>
      </c>
      <c r="K15" s="2">
        <f t="shared" si="1"/>
        <v>2.3047284468304383</v>
      </c>
      <c r="L15" s="2">
        <f t="shared" si="8"/>
        <v>142.89316370348718</v>
      </c>
      <c r="M15" s="2">
        <f t="shared" si="2"/>
        <v>2.4673454200129878</v>
      </c>
      <c r="N15" s="2">
        <f t="shared" si="3"/>
        <v>1.2907800948036807</v>
      </c>
    </row>
    <row r="16" spans="1:14" x14ac:dyDescent="0.45">
      <c r="A16">
        <v>47</v>
      </c>
      <c r="B16">
        <v>124</v>
      </c>
      <c r="C16">
        <f t="shared" si="9"/>
        <v>1.2907800948036807</v>
      </c>
      <c r="D16">
        <f t="shared" si="10"/>
        <v>2.4673454200129878</v>
      </c>
      <c r="E16">
        <f t="shared" si="11"/>
        <v>117.25601483541411</v>
      </c>
      <c r="F16" s="2">
        <f t="shared" si="0"/>
        <v>45.481335900154626</v>
      </c>
      <c r="G16" s="2">
        <f t="shared" si="4"/>
        <v>45.346556196862835</v>
      </c>
      <c r="H16" s="2">
        <f t="shared" si="5"/>
        <v>-13.477970329179101</v>
      </c>
      <c r="I16" s="2">
        <f t="shared" si="6"/>
        <v>39.362889845444073</v>
      </c>
      <c r="J16" s="2">
        <f t="shared" si="7"/>
        <v>-611.84460547105527</v>
      </c>
      <c r="K16" s="2">
        <f t="shared" si="1"/>
        <v>-13.487970329171787</v>
      </c>
      <c r="L16" s="2">
        <f t="shared" si="8"/>
        <v>-633.93460547107406</v>
      </c>
      <c r="M16" s="2">
        <f t="shared" si="2"/>
        <v>2.5307388805600954</v>
      </c>
      <c r="N16" s="2">
        <f t="shared" si="3"/>
        <v>1.2921288918365978</v>
      </c>
    </row>
    <row r="17" spans="1:14" x14ac:dyDescent="0.45">
      <c r="A17">
        <v>35</v>
      </c>
      <c r="B17">
        <v>100</v>
      </c>
      <c r="C17">
        <f t="shared" si="9"/>
        <v>1.2921288918365978</v>
      </c>
      <c r="D17">
        <f t="shared" si="10"/>
        <v>2.5307388805600954</v>
      </c>
      <c r="E17">
        <f t="shared" si="11"/>
        <v>89.867989711439932</v>
      </c>
      <c r="F17" s="2">
        <f t="shared" si="0"/>
        <v>102.65763248748706</v>
      </c>
      <c r="G17" s="2">
        <f t="shared" si="4"/>
        <v>102.45509228171576</v>
      </c>
      <c r="H17" s="2">
        <f t="shared" si="5"/>
        <v>-20.25402057712995</v>
      </c>
      <c r="I17" s="2">
        <f t="shared" si="6"/>
        <v>95.687725285495134</v>
      </c>
      <c r="J17" s="2">
        <f t="shared" si="7"/>
        <v>-696.99072019919299</v>
      </c>
      <c r="K17" s="2">
        <f t="shared" si="1"/>
        <v>-20.264020577120135</v>
      </c>
      <c r="L17" s="2">
        <f t="shared" si="8"/>
        <v>-709.2407201992047</v>
      </c>
      <c r="M17" s="2">
        <f t="shared" si="2"/>
        <v>2.6016629525800159</v>
      </c>
      <c r="N17" s="2">
        <f t="shared" si="3"/>
        <v>1.2941552938943099</v>
      </c>
    </row>
    <row r="18" spans="1:14" x14ac:dyDescent="0.45">
      <c r="A18">
        <v>9</v>
      </c>
      <c r="B18">
        <v>48</v>
      </c>
      <c r="C18">
        <f t="shared" si="9"/>
        <v>1.2941552938943099</v>
      </c>
      <c r="D18">
        <f t="shared" si="10"/>
        <v>2.6016629525800159</v>
      </c>
      <c r="E18">
        <f t="shared" si="11"/>
        <v>24.709121867114451</v>
      </c>
      <c r="F18" s="2">
        <f t="shared" si="0"/>
        <v>542.46500420092627</v>
      </c>
      <c r="G18" s="2">
        <f t="shared" si="4"/>
        <v>541.99928663826847</v>
      </c>
      <c r="H18" s="2">
        <f t="shared" si="5"/>
        <v>-46.571756265780095</v>
      </c>
      <c r="I18" s="2">
        <f t="shared" si="6"/>
        <v>538.28074613700687</v>
      </c>
      <c r="J18" s="2">
        <f t="shared" si="7"/>
        <v>-418.42580639194011</v>
      </c>
      <c r="K18" s="2">
        <f t="shared" si="1"/>
        <v>-46.581756265771098</v>
      </c>
      <c r="L18" s="2">
        <f t="shared" si="8"/>
        <v>-419.23580639193989</v>
      </c>
      <c r="M18" s="2">
        <f t="shared" si="2"/>
        <v>2.6435865332192101</v>
      </c>
      <c r="N18" s="2">
        <f t="shared" si="3"/>
        <v>1.2988134695208871</v>
      </c>
    </row>
    <row r="19" spans="1:14" x14ac:dyDescent="0.45">
      <c r="A19">
        <v>38</v>
      </c>
      <c r="B19">
        <v>106</v>
      </c>
      <c r="C19">
        <f t="shared" si="9"/>
        <v>1.2988134695208871</v>
      </c>
      <c r="D19">
        <f t="shared" si="10"/>
        <v>2.6435865332192101</v>
      </c>
      <c r="E19">
        <f t="shared" si="11"/>
        <v>101.75510173185089</v>
      </c>
      <c r="F19" s="2">
        <f t="shared" si="0"/>
        <v>18.019161306935352</v>
      </c>
      <c r="G19" s="2">
        <f t="shared" si="4"/>
        <v>17.934363341572446</v>
      </c>
      <c r="H19" s="2">
        <f t="shared" si="5"/>
        <v>-8.4797965362906069</v>
      </c>
      <c r="I19" s="2">
        <f t="shared" si="6"/>
        <v>14.937438623142279</v>
      </c>
      <c r="J19" s="2">
        <f t="shared" si="7"/>
        <v>-308.1722683793073</v>
      </c>
      <c r="K19" s="2">
        <f t="shared" si="1"/>
        <v>-8.4897965362982291</v>
      </c>
      <c r="L19" s="2">
        <f t="shared" si="8"/>
        <v>-322.6122683793327</v>
      </c>
      <c r="M19" s="2">
        <f t="shared" si="2"/>
        <v>2.6758477600571435</v>
      </c>
      <c r="N19" s="2">
        <f t="shared" si="3"/>
        <v>1.2996624491745168</v>
      </c>
    </row>
    <row r="20" spans="1:14" x14ac:dyDescent="0.45">
      <c r="A20">
        <v>44</v>
      </c>
      <c r="B20">
        <v>118</v>
      </c>
      <c r="C20">
        <f t="shared" si="9"/>
        <v>1.2996624491745168</v>
      </c>
      <c r="D20">
        <f t="shared" si="10"/>
        <v>2.6758477600571435</v>
      </c>
      <c r="E20">
        <f t="shared" si="11"/>
        <v>119.03696389168883</v>
      </c>
      <c r="F20" s="2">
        <f t="shared" si="0"/>
        <v>1.0752941126664388</v>
      </c>
      <c r="G20" s="2">
        <f t="shared" si="4"/>
        <v>1.0961333905001964</v>
      </c>
      <c r="H20" s="2">
        <f t="shared" si="5"/>
        <v>2.0839277833757608</v>
      </c>
      <c r="I20" s="2">
        <f t="shared" si="6"/>
        <v>2.1814223373526005</v>
      </c>
      <c r="J20" s="2">
        <f t="shared" si="7"/>
        <v>110.61282246861616</v>
      </c>
      <c r="K20" s="2">
        <f t="shared" si="1"/>
        <v>2.0739277833776555</v>
      </c>
      <c r="L20" s="2">
        <f t="shared" si="8"/>
        <v>91.252822468616841</v>
      </c>
      <c r="M20" s="2">
        <f t="shared" si="2"/>
        <v>2.666722477810282</v>
      </c>
      <c r="N20" s="2">
        <f t="shared" si="3"/>
        <v>1.2994550563961791</v>
      </c>
    </row>
    <row r="21" spans="1:14" x14ac:dyDescent="0.45">
      <c r="A21">
        <v>99</v>
      </c>
      <c r="B21">
        <v>228</v>
      </c>
      <c r="C21">
        <f t="shared" si="9"/>
        <v>1.2994550563961791</v>
      </c>
      <c r="D21">
        <f t="shared" si="10"/>
        <v>2.666722477810282</v>
      </c>
      <c r="E21">
        <f t="shared" si="11"/>
        <v>265.30498035961415</v>
      </c>
      <c r="F21" s="2">
        <f t="shared" si="0"/>
        <v>1391.6615596311974</v>
      </c>
      <c r="G21" s="2">
        <f t="shared" si="4"/>
        <v>1392.407759238389</v>
      </c>
      <c r="H21" s="2">
        <f t="shared" si="5"/>
        <v>74.619960719155642</v>
      </c>
      <c r="I21" s="2">
        <f t="shared" si="6"/>
        <v>1466.5055207432297</v>
      </c>
      <c r="J21" s="2">
        <f t="shared" si="7"/>
        <v>7484.3961112032275</v>
      </c>
      <c r="K21" s="2">
        <f t="shared" si="1"/>
        <v>74.609960719228297</v>
      </c>
      <c r="L21" s="2">
        <f t="shared" si="8"/>
        <v>7386.3861112036011</v>
      </c>
      <c r="M21" s="2">
        <f t="shared" si="2"/>
        <v>1.928083866689922</v>
      </c>
      <c r="N21" s="2">
        <f t="shared" si="3"/>
        <v>1.2919940603242563</v>
      </c>
    </row>
    <row r="22" spans="1:14" x14ac:dyDescent="0.45">
      <c r="A22">
        <v>13</v>
      </c>
      <c r="B22">
        <v>56</v>
      </c>
      <c r="C22">
        <f t="shared" si="9"/>
        <v>1.2919940603242563</v>
      </c>
      <c r="D22">
        <f t="shared" si="10"/>
        <v>1.928083866689922</v>
      </c>
      <c r="E22">
        <f t="shared" si="11"/>
        <v>26.357084327293244</v>
      </c>
      <c r="F22" s="2">
        <f t="shared" si="0"/>
        <v>878.70244957920386</v>
      </c>
      <c r="G22" s="2">
        <f t="shared" si="4"/>
        <v>878.1096912657498</v>
      </c>
      <c r="H22" s="2">
        <f t="shared" si="5"/>
        <v>-59.27583134540555</v>
      </c>
      <c r="I22" s="2">
        <f t="shared" si="6"/>
        <v>871.01219150430018</v>
      </c>
      <c r="J22" s="2">
        <f t="shared" si="7"/>
        <v>-769.02580749036815</v>
      </c>
      <c r="K22" s="2">
        <f t="shared" si="1"/>
        <v>-59.285831345413513</v>
      </c>
      <c r="L22" s="2">
        <f t="shared" si="8"/>
        <v>-770.71580749037571</v>
      </c>
      <c r="M22" s="2">
        <f t="shared" si="2"/>
        <v>2.0051554474389595</v>
      </c>
      <c r="N22" s="2">
        <f t="shared" si="3"/>
        <v>1.2979226434587976</v>
      </c>
    </row>
    <row r="23" spans="1:14" x14ac:dyDescent="0.45">
      <c r="A23">
        <v>21</v>
      </c>
      <c r="B23">
        <v>72</v>
      </c>
      <c r="C23">
        <f t="shared" si="9"/>
        <v>1.2979226434587976</v>
      </c>
      <c r="D23">
        <f t="shared" si="10"/>
        <v>2.0051554474389595</v>
      </c>
      <c r="E23">
        <f t="shared" si="11"/>
        <v>43.406187039676944</v>
      </c>
      <c r="F23" s="2">
        <f t="shared" si="0"/>
        <v>817.60613960993874</v>
      </c>
      <c r="G23" s="2">
        <f t="shared" si="4"/>
        <v>817.03436335073241</v>
      </c>
      <c r="H23" s="2">
        <f t="shared" si="5"/>
        <v>-57.177625920633091</v>
      </c>
      <c r="I23" s="2">
        <f t="shared" si="6"/>
        <v>805.64083816660309</v>
      </c>
      <c r="J23" s="2">
        <f t="shared" si="7"/>
        <v>-1196.5301443335647</v>
      </c>
      <c r="K23" s="2">
        <f t="shared" si="1"/>
        <v>-57.187625920646113</v>
      </c>
      <c r="L23" s="2">
        <f t="shared" si="8"/>
        <v>-1200.9401443335685</v>
      </c>
      <c r="M23" s="2">
        <f t="shared" si="2"/>
        <v>2.1252494618723161</v>
      </c>
      <c r="N23" s="2">
        <f t="shared" si="3"/>
        <v>1.3036414060508623</v>
      </c>
    </row>
    <row r="24" spans="1:14" x14ac:dyDescent="0.45">
      <c r="A24">
        <v>28</v>
      </c>
      <c r="B24">
        <v>86</v>
      </c>
      <c r="C24">
        <f t="shared" si="9"/>
        <v>1.3036414060508623</v>
      </c>
      <c r="D24">
        <f t="shared" si="10"/>
        <v>2.1252494618723161</v>
      </c>
      <c r="E24">
        <f t="shared" si="11"/>
        <v>60.810626338475714</v>
      </c>
      <c r="F24" s="2">
        <f t="shared" si="0"/>
        <v>634.50454545989339</v>
      </c>
      <c r="G24" s="2">
        <f t="shared" si="4"/>
        <v>634.00085798666305</v>
      </c>
      <c r="H24" s="2">
        <f t="shared" si="5"/>
        <v>-50.368747323034313</v>
      </c>
      <c r="I24" s="2">
        <f t="shared" si="6"/>
        <v>620.47689620944016</v>
      </c>
      <c r="J24" s="2">
        <f t="shared" si="7"/>
        <v>-1402.7649250453237</v>
      </c>
      <c r="K24" s="2">
        <f t="shared" si="1"/>
        <v>-50.378747323048572</v>
      </c>
      <c r="L24" s="2">
        <f t="shared" si="8"/>
        <v>-1410.60492504536</v>
      </c>
      <c r="M24" s="2">
        <f t="shared" si="2"/>
        <v>2.2663099543768519</v>
      </c>
      <c r="N24" s="2">
        <f t="shared" si="3"/>
        <v>1.3086792807831671</v>
      </c>
    </row>
    <row r="25" spans="1:14" x14ac:dyDescent="0.45">
      <c r="A25">
        <v>20</v>
      </c>
      <c r="B25">
        <v>70</v>
      </c>
      <c r="C25">
        <f t="shared" si="9"/>
        <v>1.3086792807831671</v>
      </c>
      <c r="D25">
        <f t="shared" si="10"/>
        <v>2.2663099543768519</v>
      </c>
      <c r="E25">
        <f t="shared" si="11"/>
        <v>46.634878368320202</v>
      </c>
      <c r="F25" s="2">
        <f t="shared" si="0"/>
        <v>545.92890886319128</v>
      </c>
      <c r="G25" s="2">
        <f t="shared" si="4"/>
        <v>545.4617064305578</v>
      </c>
      <c r="H25" s="2">
        <f t="shared" si="5"/>
        <v>-46.720243263348493</v>
      </c>
      <c r="I25" s="2">
        <f t="shared" si="6"/>
        <v>536.62286021051921</v>
      </c>
      <c r="J25" s="2">
        <f t="shared" si="7"/>
        <v>-930.60486526720751</v>
      </c>
      <c r="K25" s="2">
        <f t="shared" si="1"/>
        <v>-46.730243263359597</v>
      </c>
      <c r="L25" s="2">
        <f t="shared" si="8"/>
        <v>-934.60486526719194</v>
      </c>
      <c r="M25" s="2">
        <f t="shared" si="2"/>
        <v>2.3597704409035711</v>
      </c>
      <c r="N25" s="2">
        <f t="shared" si="3"/>
        <v>1.3133523051095031</v>
      </c>
    </row>
    <row r="26" spans="1:14" x14ac:dyDescent="0.45">
      <c r="A26">
        <v>8</v>
      </c>
      <c r="B26">
        <v>46</v>
      </c>
      <c r="C26">
        <f t="shared" si="9"/>
        <v>1.3133523051095031</v>
      </c>
      <c r="D26">
        <f t="shared" si="10"/>
        <v>2.3597704409035711</v>
      </c>
      <c r="E26">
        <f t="shared" si="11"/>
        <v>20.191515832338073</v>
      </c>
      <c r="F26" s="2">
        <f t="shared" si="0"/>
        <v>666.07785503245634</v>
      </c>
      <c r="G26" s="2">
        <f t="shared" si="4"/>
        <v>665.56178534910316</v>
      </c>
      <c r="H26" s="2">
        <f t="shared" si="5"/>
        <v>-51.606968335318015</v>
      </c>
      <c r="I26" s="2">
        <f t="shared" si="6"/>
        <v>661.95489756563052</v>
      </c>
      <c r="J26" s="2">
        <f t="shared" si="7"/>
        <v>-412.29574668258238</v>
      </c>
      <c r="K26" s="2">
        <f t="shared" si="1"/>
        <v>-51.616968335323854</v>
      </c>
      <c r="L26" s="2">
        <f t="shared" si="8"/>
        <v>-412.93574668259083</v>
      </c>
      <c r="M26" s="2">
        <f t="shared" si="2"/>
        <v>2.4010640155718304</v>
      </c>
      <c r="N26" s="2">
        <f t="shared" si="3"/>
        <v>1.3185140019430355</v>
      </c>
    </row>
    <row r="27" spans="1:14" x14ac:dyDescent="0.45">
      <c r="A27">
        <v>64</v>
      </c>
      <c r="B27">
        <v>158</v>
      </c>
      <c r="C27">
        <f t="shared" si="9"/>
        <v>1.3185140019430355</v>
      </c>
      <c r="D27">
        <f t="shared" si="10"/>
        <v>2.4010640155718304</v>
      </c>
      <c r="E27">
        <f t="shared" si="11"/>
        <v>154.98661099854019</v>
      </c>
      <c r="F27" s="2">
        <f t="shared" si="0"/>
        <v>9.0805132741189727</v>
      </c>
      <c r="G27" s="2">
        <f t="shared" si="4"/>
        <v>9.0203454940898311</v>
      </c>
      <c r="H27" s="2">
        <f t="shared" si="5"/>
        <v>-6.0167780029141582</v>
      </c>
      <c r="I27" s="2">
        <f t="shared" si="6"/>
        <v>5.632975352250476</v>
      </c>
      <c r="J27" s="2">
        <f t="shared" si="7"/>
        <v>-344.75379218684964</v>
      </c>
      <c r="K27" s="2">
        <f t="shared" si="1"/>
        <v>-6.0267780029196274</v>
      </c>
      <c r="L27" s="2">
        <f t="shared" si="8"/>
        <v>-385.71379218685615</v>
      </c>
      <c r="M27" s="2">
        <f t="shared" si="2"/>
        <v>2.4396353947905158</v>
      </c>
      <c r="N27" s="2">
        <f t="shared" si="3"/>
        <v>1.3191166797433274</v>
      </c>
    </row>
    <row r="28" spans="1:14" x14ac:dyDescent="0.45">
      <c r="A28">
        <v>99</v>
      </c>
      <c r="B28">
        <v>228</v>
      </c>
      <c r="C28">
        <f t="shared" si="9"/>
        <v>1.3191166797433274</v>
      </c>
      <c r="D28">
        <f t="shared" si="10"/>
        <v>2.4396353947905158</v>
      </c>
      <c r="E28">
        <f t="shared" si="11"/>
        <v>242.84302076400439</v>
      </c>
      <c r="F28" s="2">
        <f t="shared" si="0"/>
        <v>220.31526540066557</v>
      </c>
      <c r="G28" s="2">
        <f t="shared" si="4"/>
        <v>220.61222581594538</v>
      </c>
      <c r="H28" s="2">
        <f t="shared" si="5"/>
        <v>29.696041527981265</v>
      </c>
      <c r="I28" s="2">
        <f t="shared" si="6"/>
        <v>250.68454651339366</v>
      </c>
      <c r="J28" s="2">
        <f t="shared" si="7"/>
        <v>3036.928111272809</v>
      </c>
      <c r="K28" s="2">
        <f t="shared" si="1"/>
        <v>29.686041528008786</v>
      </c>
      <c r="L28" s="2">
        <f t="shared" si="8"/>
        <v>2938.9181112728697</v>
      </c>
      <c r="M28" s="2">
        <f t="shared" si="2"/>
        <v>2.1457435836632288</v>
      </c>
      <c r="N28" s="2">
        <f t="shared" si="3"/>
        <v>1.3161480755905264</v>
      </c>
    </row>
    <row r="29" spans="1:14" x14ac:dyDescent="0.45">
      <c r="A29">
        <v>70</v>
      </c>
      <c r="B29">
        <v>170</v>
      </c>
      <c r="C29">
        <f t="shared" si="9"/>
        <v>1.3161480755905264</v>
      </c>
      <c r="D29">
        <f t="shared" si="10"/>
        <v>2.1457435836632288</v>
      </c>
      <c r="E29">
        <f t="shared" si="11"/>
        <v>151.51819893201653</v>
      </c>
      <c r="F29" s="2">
        <f t="shared" si="0"/>
        <v>341.57697071651489</v>
      </c>
      <c r="G29" s="2">
        <f t="shared" si="4"/>
        <v>341.20743469515452</v>
      </c>
      <c r="H29" s="2">
        <f t="shared" si="5"/>
        <v>-36.953602136037489</v>
      </c>
      <c r="I29" s="2">
        <f t="shared" si="6"/>
        <v>316.19244922133845</v>
      </c>
      <c r="J29" s="2">
        <f t="shared" si="7"/>
        <v>-2538.4521495176441</v>
      </c>
      <c r="K29" s="2">
        <f t="shared" si="1"/>
        <v>-36.963602135966937</v>
      </c>
      <c r="L29" s="2">
        <f t="shared" si="8"/>
        <v>-2587.4521495176855</v>
      </c>
      <c r="M29" s="2">
        <f t="shared" si="2"/>
        <v>2.4044887986149974</v>
      </c>
      <c r="N29" s="2">
        <f t="shared" si="3"/>
        <v>1.319844435804123</v>
      </c>
    </row>
    <row r="30" spans="1:14" x14ac:dyDescent="0.45">
      <c r="A30">
        <v>27</v>
      </c>
      <c r="B30">
        <v>84</v>
      </c>
      <c r="C30">
        <f t="shared" si="9"/>
        <v>1.319844435804123</v>
      </c>
      <c r="D30">
        <f t="shared" si="10"/>
        <v>2.4044887986149974</v>
      </c>
      <c r="E30">
        <f t="shared" si="11"/>
        <v>66.241041998409059</v>
      </c>
      <c r="F30" s="2">
        <f t="shared" si="0"/>
        <v>315.38058930227089</v>
      </c>
      <c r="G30" s="2">
        <f t="shared" si="4"/>
        <v>315.0255101422394</v>
      </c>
      <c r="H30" s="2">
        <f t="shared" si="5"/>
        <v>-35.507916003149376</v>
      </c>
      <c r="I30" s="2">
        <f t="shared" si="6"/>
        <v>305.86365198141192</v>
      </c>
      <c r="J30" s="2">
        <f t="shared" si="7"/>
        <v>-951.69373208589718</v>
      </c>
      <c r="K30" s="2">
        <f t="shared" si="1"/>
        <v>-35.517916003181881</v>
      </c>
      <c r="L30" s="2">
        <f t="shared" si="8"/>
        <v>-958.98373208591079</v>
      </c>
      <c r="M30" s="2">
        <f t="shared" si="2"/>
        <v>2.5003871718235886</v>
      </c>
      <c r="N30" s="2">
        <f t="shared" si="3"/>
        <v>1.3233962274044413</v>
      </c>
    </row>
    <row r="31" spans="1:14" x14ac:dyDescent="0.45">
      <c r="A31">
        <v>17</v>
      </c>
      <c r="B31">
        <v>64</v>
      </c>
      <c r="C31">
        <f t="shared" si="9"/>
        <v>1.3233962274044413</v>
      </c>
      <c r="D31">
        <f t="shared" si="10"/>
        <v>2.5003871718235886</v>
      </c>
      <c r="E31">
        <f t="shared" si="11"/>
        <v>43.829978148405452</v>
      </c>
      <c r="F31" s="2">
        <f t="shared" si="0"/>
        <v>406.82978149380153</v>
      </c>
      <c r="G31" s="2">
        <f t="shared" si="4"/>
        <v>406.42648105676977</v>
      </c>
      <c r="H31" s="2">
        <f t="shared" si="5"/>
        <v>-40.330043703175988</v>
      </c>
      <c r="I31" s="2">
        <f t="shared" si="6"/>
        <v>400.00087406425962</v>
      </c>
      <c r="J31" s="2">
        <f t="shared" si="7"/>
        <v>-682.89074295419141</v>
      </c>
      <c r="K31" s="2">
        <f t="shared" si="1"/>
        <v>-40.340043703189096</v>
      </c>
      <c r="L31" s="2">
        <f t="shared" si="8"/>
        <v>-685.78074295421459</v>
      </c>
      <c r="M31" s="2">
        <f t="shared" si="2"/>
        <v>2.56896524611901</v>
      </c>
      <c r="N31" s="2">
        <f t="shared" si="3"/>
        <v>1.3274302317747602</v>
      </c>
    </row>
    <row r="32" spans="1:14" x14ac:dyDescent="0.45">
      <c r="A32">
        <v>8</v>
      </c>
      <c r="B32">
        <v>46</v>
      </c>
      <c r="C32">
        <f t="shared" si="9"/>
        <v>1.3274302317747602</v>
      </c>
      <c r="D32">
        <f t="shared" si="10"/>
        <v>2.56896524611901</v>
      </c>
      <c r="E32">
        <f t="shared" si="11"/>
        <v>21.879152200726839</v>
      </c>
      <c r="F32" s="2">
        <f t="shared" si="0"/>
        <v>581.81529855570091</v>
      </c>
      <c r="G32" s="2">
        <f t="shared" si="4"/>
        <v>581.33298159971537</v>
      </c>
      <c r="H32" s="2">
        <f t="shared" si="5"/>
        <v>-48.23169559855387</v>
      </c>
      <c r="I32" s="2">
        <f t="shared" si="6"/>
        <v>577.96236290781724</v>
      </c>
      <c r="J32" s="2">
        <f t="shared" si="7"/>
        <v>-385.29356478836689</v>
      </c>
      <c r="K32" s="2">
        <f t="shared" si="1"/>
        <v>-48.241695598546322</v>
      </c>
      <c r="L32" s="2">
        <f t="shared" si="8"/>
        <v>-385.93356478837057</v>
      </c>
      <c r="M32" s="2">
        <f t="shared" si="2"/>
        <v>2.6075586025978472</v>
      </c>
      <c r="N32" s="2">
        <f t="shared" si="3"/>
        <v>1.3322544013346147</v>
      </c>
    </row>
    <row r="33" spans="3:12" x14ac:dyDescent="0.45">
      <c r="E33" t="s">
        <v>2</v>
      </c>
      <c r="F33" s="2">
        <f>SQRT(SUM(F4:F32))</f>
        <v>103.99322533093216</v>
      </c>
      <c r="K33" s="2">
        <f>SQRT(SUMSQ(K4:K32))</f>
        <v>207.98645066186432</v>
      </c>
      <c r="L33" s="2">
        <f>SQRT(SUMSQ(L4:L32))</f>
        <v>10536.690171363312</v>
      </c>
    </row>
    <row r="36" spans="3:12" x14ac:dyDescent="0.45">
      <c r="C36" t="s">
        <v>20</v>
      </c>
    </row>
    <row r="37" spans="3:12" x14ac:dyDescent="0.45">
      <c r="C37" t="s">
        <v>2</v>
      </c>
    </row>
    <row r="38" spans="3:12" x14ac:dyDescent="0.45">
      <c r="C38">
        <v>104.74921026693299</v>
      </c>
    </row>
    <row r="39" spans="3:12" x14ac:dyDescent="0.45">
      <c r="C39">
        <v>104.55969980561993</v>
      </c>
    </row>
    <row r="40" spans="3:12" x14ac:dyDescent="0.45">
      <c r="C40">
        <v>104.37053295106034</v>
      </c>
    </row>
    <row r="41" spans="3:12" x14ac:dyDescent="0.45">
      <c r="C41">
        <v>104.18170833255277</v>
      </c>
    </row>
    <row r="42" spans="3:12" x14ac:dyDescent="0.45">
      <c r="C42">
        <v>103.99322533093216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4763</xdr:rowOff>
                  </from>
                  <to>
                    <xdr:col>0</xdr:col>
                    <xdr:colOff>500063</xdr:colOff>
                    <xdr:row>1</xdr:row>
                    <xdr:rowOff>204788</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19050</xdr:rowOff>
                  </from>
                  <to>
                    <xdr:col>0</xdr:col>
                    <xdr:colOff>500063</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omentum"/>
  <dimension ref="A1:M33"/>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defaultRowHeight="14.25" x14ac:dyDescent="0.45"/>
  <cols>
    <col min="3" max="3" width="8.796875" style="4" customWidth="1"/>
    <col min="4" max="4" width="10.796875" style="4" bestFit="1" customWidth="1"/>
    <col min="5" max="5" width="9.19921875" style="4" bestFit="1" customWidth="1"/>
    <col min="6" max="6" width="10.796875" style="6" bestFit="1" customWidth="1"/>
    <col min="7" max="7" width="10.19921875" style="6" bestFit="1" customWidth="1"/>
    <col min="8" max="8" width="8.33203125" bestFit="1" customWidth="1"/>
    <col min="9" max="9" width="6.265625" bestFit="1" customWidth="1"/>
    <col min="10" max="11" width="6.53125" customWidth="1"/>
  </cols>
  <sheetData>
    <row r="1" spans="1:13" x14ac:dyDescent="0.45">
      <c r="B1" t="s">
        <v>21</v>
      </c>
      <c r="C1" s="4">
        <v>1</v>
      </c>
      <c r="D1" s="4" t="s">
        <v>14</v>
      </c>
      <c r="I1" t="s">
        <v>24</v>
      </c>
      <c r="J1">
        <v>0.9</v>
      </c>
      <c r="K1">
        <f>1-J1</f>
        <v>9.9999999999999978E-2</v>
      </c>
    </row>
    <row r="2" spans="1:13" x14ac:dyDescent="0.45">
      <c r="B2" t="s">
        <v>22</v>
      </c>
      <c r="C2" s="4">
        <v>1</v>
      </c>
      <c r="D2">
        <v>1E-4</v>
      </c>
      <c r="F2" s="8"/>
      <c r="G2" s="8"/>
    </row>
    <row r="3" spans="1:13" s="1" customFormat="1" x14ac:dyDescent="0.45">
      <c r="A3" s="1" t="s">
        <v>15</v>
      </c>
      <c r="B3" s="1" t="s">
        <v>16</v>
      </c>
      <c r="C3" s="5" t="s">
        <v>21</v>
      </c>
      <c r="D3" s="5" t="s">
        <v>22</v>
      </c>
      <c r="E3" s="5" t="s">
        <v>18</v>
      </c>
      <c r="F3" s="7" t="s">
        <v>6</v>
      </c>
      <c r="G3" s="7" t="s">
        <v>9</v>
      </c>
      <c r="H3" s="1" t="s">
        <v>13</v>
      </c>
      <c r="I3" s="1" t="s">
        <v>12</v>
      </c>
      <c r="J3">
        <f>J33</f>
        <v>-18.333926690207889</v>
      </c>
      <c r="K3">
        <f>K33</f>
        <v>98.245830392128539</v>
      </c>
      <c r="L3" s="1" t="s">
        <v>1</v>
      </c>
      <c r="M3" s="3"/>
    </row>
    <row r="4" spans="1:13" x14ac:dyDescent="0.45">
      <c r="A4">
        <v>14</v>
      </c>
      <c r="B4">
        <v>58</v>
      </c>
      <c r="C4" s="4">
        <f>C1</f>
        <v>1</v>
      </c>
      <c r="D4" s="4">
        <f>C2</f>
        <v>1</v>
      </c>
      <c r="E4" s="4">
        <f>C4+D4*A4</f>
        <v>15</v>
      </c>
      <c r="F4" s="6">
        <f t="shared" ref="F4:F32" si="0">2*(D4*A4+C4-B4)</f>
        <v>-86</v>
      </c>
      <c r="G4" s="6">
        <f t="shared" ref="G4:G32" si="1">F4*A4</f>
        <v>-1204</v>
      </c>
      <c r="H4" s="2">
        <f>C4-J4*$D$2</f>
        <v>1.0025100534021187</v>
      </c>
      <c r="I4" s="2">
        <f>D4-K4*$D$2</f>
        <v>1.0031978752647084</v>
      </c>
      <c r="J4">
        <f>J3*$J$1+$K$1*F4</f>
        <v>-25.100534021187098</v>
      </c>
      <c r="K4">
        <f>K3*$J$1+$K$1*G4</f>
        <v>-31.978752647084292</v>
      </c>
      <c r="L4">
        <f>(B4-E4)^2</f>
        <v>1849</v>
      </c>
    </row>
    <row r="5" spans="1:13" x14ac:dyDescent="0.45">
      <c r="A5">
        <v>86</v>
      </c>
      <c r="B5">
        <v>202</v>
      </c>
      <c r="C5" s="4">
        <f>H4</f>
        <v>1.0025100534021187</v>
      </c>
      <c r="D5" s="4">
        <f>I4</f>
        <v>1.0031978752647084</v>
      </c>
      <c r="E5" s="4">
        <f>C5+D5*A5</f>
        <v>87.277527326167046</v>
      </c>
      <c r="F5" s="6">
        <f t="shared" si="0"/>
        <v>-229.44494534766591</v>
      </c>
      <c r="G5" s="6">
        <f t="shared" si="1"/>
        <v>-19732.265299899267</v>
      </c>
      <c r="H5" s="2">
        <f t="shared" ref="H5:H32" si="2">C5-J5*$D$2</f>
        <v>1.0070635509175023</v>
      </c>
      <c r="I5" s="2">
        <f t="shared" ref="I5:I32" si="3">D5-K5*$D$2</f>
        <v>1.2033986160019385</v>
      </c>
      <c r="J5">
        <f t="shared" ref="J5:K20" si="4">J4*$J$1+$K$1*F5</f>
        <v>-45.534975153834978</v>
      </c>
      <c r="K5">
        <f t="shared" si="4"/>
        <v>-2002.0074073723022</v>
      </c>
      <c r="L5">
        <f t="shared" ref="L5:L32" si="5">(B5-E5)^2</f>
        <v>13161.245736398349</v>
      </c>
    </row>
    <row r="6" spans="1:13" x14ac:dyDescent="0.45">
      <c r="A6">
        <v>28</v>
      </c>
      <c r="B6">
        <v>86</v>
      </c>
      <c r="C6" s="4">
        <f>H5</f>
        <v>1.0070635509175023</v>
      </c>
      <c r="D6" s="4">
        <f>I5</f>
        <v>1.2033986160019385</v>
      </c>
      <c r="E6" s="4">
        <f>C6+D6*A6</f>
        <v>34.702224798971777</v>
      </c>
      <c r="F6" s="6">
        <f t="shared" si="0"/>
        <v>-102.59555040205645</v>
      </c>
      <c r="G6" s="6">
        <f t="shared" si="1"/>
        <v>-2872.6754112575804</v>
      </c>
      <c r="H6" s="2">
        <f t="shared" si="2"/>
        <v>1.012187654185368</v>
      </c>
      <c r="I6" s="2">
        <f t="shared" si="3"/>
        <v>1.4123060367780216</v>
      </c>
      <c r="J6">
        <f t="shared" si="4"/>
        <v>-51.24103267865712</v>
      </c>
      <c r="K6">
        <f t="shared" si="4"/>
        <v>-2089.0742077608297</v>
      </c>
      <c r="L6">
        <f t="shared" si="5"/>
        <v>2631.461740575226</v>
      </c>
    </row>
    <row r="7" spans="1:13" x14ac:dyDescent="0.45">
      <c r="A7">
        <v>51</v>
      </c>
      <c r="B7">
        <v>132</v>
      </c>
      <c r="C7" s="4">
        <f t="shared" ref="C7:D32" si="6">H6</f>
        <v>1.012187654185368</v>
      </c>
      <c r="D7" s="4">
        <f t="shared" si="6"/>
        <v>1.4123060367780216</v>
      </c>
      <c r="E7" s="4">
        <f t="shared" ref="E7:E32" si="7">C7+D7*A7</f>
        <v>73.039795529864463</v>
      </c>
      <c r="F7" s="6">
        <f t="shared" si="0"/>
        <v>-117.92040894027107</v>
      </c>
      <c r="G7" s="6">
        <f t="shared" si="1"/>
        <v>-6013.9408559538251</v>
      </c>
      <c r="H7" s="2">
        <f t="shared" si="2"/>
        <v>1.0179785512158499</v>
      </c>
      <c r="I7" s="2">
        <f t="shared" si="3"/>
        <v>1.6604621240360344</v>
      </c>
      <c r="J7">
        <f t="shared" si="4"/>
        <v>-57.90897030481851</v>
      </c>
      <c r="K7">
        <f t="shared" si="4"/>
        <v>-2481.5608725801294</v>
      </c>
      <c r="L7">
        <f t="shared" si="5"/>
        <v>3476.3057111601906</v>
      </c>
    </row>
    <row r="8" spans="1:13" x14ac:dyDescent="0.45">
      <c r="A8">
        <v>28</v>
      </c>
      <c r="B8">
        <v>86</v>
      </c>
      <c r="C8" s="4">
        <f t="shared" si="6"/>
        <v>1.0179785512158499</v>
      </c>
      <c r="D8" s="4">
        <f t="shared" si="6"/>
        <v>1.6604621240360344</v>
      </c>
      <c r="E8" s="4">
        <f t="shared" si="7"/>
        <v>47.510918024224814</v>
      </c>
      <c r="F8" s="6">
        <f t="shared" si="0"/>
        <v>-76.978163951550371</v>
      </c>
      <c r="G8" s="6">
        <f t="shared" si="1"/>
        <v>-2155.3885906434102</v>
      </c>
      <c r="H8" s="2">
        <f t="shared" si="2"/>
        <v>1.0239601401827991</v>
      </c>
      <c r="I8" s="2">
        <f t="shared" si="3"/>
        <v>1.9053564884746801</v>
      </c>
      <c r="J8">
        <f t="shared" si="4"/>
        <v>-59.815889669491696</v>
      </c>
      <c r="K8">
        <f t="shared" si="4"/>
        <v>-2448.9436443864574</v>
      </c>
      <c r="L8">
        <f t="shared" si="5"/>
        <v>1481.4094313379424</v>
      </c>
    </row>
    <row r="9" spans="1:13" x14ac:dyDescent="0.45">
      <c r="A9">
        <v>29</v>
      </c>
      <c r="B9">
        <v>88</v>
      </c>
      <c r="C9" s="4">
        <f t="shared" si="6"/>
        <v>1.0239601401827991</v>
      </c>
      <c r="D9" s="4">
        <f t="shared" si="6"/>
        <v>1.9053564884746801</v>
      </c>
      <c r="E9" s="4">
        <f t="shared" si="7"/>
        <v>56.279298305948522</v>
      </c>
      <c r="F9" s="6">
        <f t="shared" si="0"/>
        <v>-63.441403388102955</v>
      </c>
      <c r="G9" s="6">
        <f t="shared" si="1"/>
        <v>-1839.8006982549857</v>
      </c>
      <c r="H9" s="2">
        <f t="shared" si="2"/>
        <v>1.0299779842869343</v>
      </c>
      <c r="I9" s="2">
        <f t="shared" si="3"/>
        <v>2.1441594234520109</v>
      </c>
      <c r="J9">
        <f t="shared" si="4"/>
        <v>-60.178441041352819</v>
      </c>
      <c r="K9">
        <f t="shared" si="4"/>
        <v>-2388.0293497733101</v>
      </c>
      <c r="L9">
        <f t="shared" si="5"/>
        <v>1006.2029159630002</v>
      </c>
    </row>
    <row r="10" spans="1:13" x14ac:dyDescent="0.45">
      <c r="A10">
        <v>72</v>
      </c>
      <c r="B10">
        <v>174</v>
      </c>
      <c r="C10" s="4">
        <f t="shared" si="6"/>
        <v>1.0299779842869343</v>
      </c>
      <c r="D10" s="4">
        <f t="shared" si="6"/>
        <v>2.1441594234520109</v>
      </c>
      <c r="E10" s="4">
        <f t="shared" si="7"/>
        <v>155.40945647283172</v>
      </c>
      <c r="F10" s="6">
        <f t="shared" si="0"/>
        <v>-37.181087054336558</v>
      </c>
      <c r="G10" s="6">
        <f t="shared" si="1"/>
        <v>-2677.0382679122322</v>
      </c>
      <c r="H10" s="2">
        <f t="shared" si="2"/>
        <v>1.0357658548511994</v>
      </c>
      <c r="I10" s="2">
        <f t="shared" si="3"/>
        <v>2.385852447610731</v>
      </c>
      <c r="J10">
        <f t="shared" si="4"/>
        <v>-57.878705642651198</v>
      </c>
      <c r="K10">
        <f t="shared" si="4"/>
        <v>-2416.9302415872021</v>
      </c>
      <c r="L10">
        <f t="shared" si="5"/>
        <v>345.60830863553838</v>
      </c>
    </row>
    <row r="11" spans="1:13" x14ac:dyDescent="0.45">
      <c r="A11">
        <v>62</v>
      </c>
      <c r="B11">
        <v>154</v>
      </c>
      <c r="C11" s="4">
        <f t="shared" si="6"/>
        <v>1.0357658548511994</v>
      </c>
      <c r="D11" s="4">
        <f t="shared" si="6"/>
        <v>2.385852447610731</v>
      </c>
      <c r="E11" s="4">
        <f t="shared" si="7"/>
        <v>148.95861760671653</v>
      </c>
      <c r="F11" s="6">
        <f t="shared" si="0"/>
        <v>-10.082764786566941</v>
      </c>
      <c r="G11" s="6">
        <f t="shared" si="1"/>
        <v>-625.13141676715031</v>
      </c>
      <c r="H11" s="2">
        <f t="shared" si="2"/>
        <v>1.0410757660069037</v>
      </c>
      <c r="I11" s="2">
        <f t="shared" si="3"/>
        <v>2.6096274835212507</v>
      </c>
      <c r="J11">
        <f t="shared" si="4"/>
        <v>-53.099111557042775</v>
      </c>
      <c r="K11">
        <f t="shared" si="4"/>
        <v>-2237.7503591051968</v>
      </c>
      <c r="L11">
        <f t="shared" si="5"/>
        <v>25.415536435308571</v>
      </c>
    </row>
    <row r="12" spans="1:13" x14ac:dyDescent="0.45">
      <c r="A12">
        <v>84</v>
      </c>
      <c r="B12">
        <v>198</v>
      </c>
      <c r="C12" s="4">
        <f t="shared" si="6"/>
        <v>1.0410757660069037</v>
      </c>
      <c r="D12" s="4">
        <f t="shared" si="6"/>
        <v>2.6096274835212507</v>
      </c>
      <c r="E12" s="4">
        <f t="shared" si="7"/>
        <v>220.24978438179198</v>
      </c>
      <c r="F12" s="6">
        <f t="shared" si="0"/>
        <v>44.499568763583966</v>
      </c>
      <c r="G12" s="6">
        <f t="shared" si="1"/>
        <v>3737.9637761410531</v>
      </c>
      <c r="H12" s="2">
        <f t="shared" si="2"/>
        <v>1.0454096903594017</v>
      </c>
      <c r="I12" s="2">
        <f t="shared" si="3"/>
        <v>2.773645378079308</v>
      </c>
      <c r="J12">
        <f>J11*$J$1+$K$1*F12</f>
        <v>-43.339243524980105</v>
      </c>
      <c r="K12">
        <f t="shared" si="4"/>
        <v>-1640.178945580572</v>
      </c>
      <c r="L12">
        <f t="shared" si="5"/>
        <v>495.05290503623445</v>
      </c>
    </row>
    <row r="13" spans="1:13" x14ac:dyDescent="0.45">
      <c r="A13">
        <v>15</v>
      </c>
      <c r="B13">
        <v>60</v>
      </c>
      <c r="C13" s="4">
        <f t="shared" si="6"/>
        <v>1.0454096903594017</v>
      </c>
      <c r="D13" s="4">
        <f t="shared" si="6"/>
        <v>2.773645378079308</v>
      </c>
      <c r="E13" s="4">
        <f t="shared" si="7"/>
        <v>42.650090361549019</v>
      </c>
      <c r="F13" s="6">
        <f t="shared" si="0"/>
        <v>-34.699819276901962</v>
      </c>
      <c r="G13" s="6">
        <f t="shared" si="1"/>
        <v>-520.49728915352944</v>
      </c>
      <c r="H13" s="2">
        <f t="shared" si="2"/>
        <v>1.049657220469419</v>
      </c>
      <c r="I13" s="2">
        <f t="shared" si="3"/>
        <v>2.9264664560730949</v>
      </c>
      <c r="J13">
        <f t="shared" si="4"/>
        <v>-42.475301100172288</v>
      </c>
      <c r="K13">
        <f t="shared" si="4"/>
        <v>-1528.2107799378678</v>
      </c>
      <c r="L13">
        <f t="shared" si="5"/>
        <v>301.01936446241427</v>
      </c>
    </row>
    <row r="14" spans="1:13" x14ac:dyDescent="0.45">
      <c r="A14">
        <v>42</v>
      </c>
      <c r="B14">
        <v>114</v>
      </c>
      <c r="C14" s="4">
        <f t="shared" si="6"/>
        <v>1.049657220469419</v>
      </c>
      <c r="D14" s="4">
        <f t="shared" si="6"/>
        <v>2.9264664560730949</v>
      </c>
      <c r="E14" s="4">
        <f t="shared" si="7"/>
        <v>123.9612483755394</v>
      </c>
      <c r="F14" s="6">
        <f t="shared" si="0"/>
        <v>19.922496751078796</v>
      </c>
      <c r="G14" s="6">
        <f t="shared" si="1"/>
        <v>836.7448635453095</v>
      </c>
      <c r="H14" s="2">
        <f t="shared" si="2"/>
        <v>1.0532807726009237</v>
      </c>
      <c r="I14" s="2">
        <f t="shared" si="3"/>
        <v>3.0556379776320499</v>
      </c>
      <c r="J14">
        <f t="shared" si="4"/>
        <v>-36.23552131504718</v>
      </c>
      <c r="K14">
        <f t="shared" si="4"/>
        <v>-1291.7152155895501</v>
      </c>
      <c r="L14">
        <f t="shared" si="5"/>
        <v>99.226469199186297</v>
      </c>
    </row>
    <row r="15" spans="1:13" x14ac:dyDescent="0.45">
      <c r="A15">
        <v>62</v>
      </c>
      <c r="B15">
        <v>154</v>
      </c>
      <c r="C15" s="4">
        <f t="shared" si="6"/>
        <v>1.0532807726009237</v>
      </c>
      <c r="D15" s="4">
        <f>I14</f>
        <v>3.0556379776320499</v>
      </c>
      <c r="E15" s="4">
        <f t="shared" si="7"/>
        <v>190.50283538578802</v>
      </c>
      <c r="F15" s="6">
        <f t="shared" si="0"/>
        <v>73.005670771576035</v>
      </c>
      <c r="G15" s="6">
        <f t="shared" si="1"/>
        <v>4526.3515878377139</v>
      </c>
      <c r="H15" s="2">
        <f t="shared" si="2"/>
        <v>1.0558119128115622</v>
      </c>
      <c r="I15" s="2">
        <f t="shared" si="3"/>
        <v>3.1266288311567325</v>
      </c>
      <c r="J15">
        <f t="shared" si="4"/>
        <v>-25.311402106384861</v>
      </c>
      <c r="K15">
        <f t="shared" si="4"/>
        <v>-709.90853524682393</v>
      </c>
      <c r="L15">
        <f t="shared" si="5"/>
        <v>1332.4569912019379</v>
      </c>
    </row>
    <row r="16" spans="1:13" x14ac:dyDescent="0.45">
      <c r="A16">
        <v>47</v>
      </c>
      <c r="B16">
        <v>124</v>
      </c>
      <c r="C16" s="4">
        <f t="shared" si="6"/>
        <v>1.0558119128115622</v>
      </c>
      <c r="D16" s="4">
        <f t="shared" si="6"/>
        <v>3.1266288311567325</v>
      </c>
      <c r="E16" s="4">
        <f t="shared" si="7"/>
        <v>148.00736697717798</v>
      </c>
      <c r="F16" s="6">
        <f t="shared" si="0"/>
        <v>48.014733954355961</v>
      </c>
      <c r="G16" s="6">
        <f t="shared" si="1"/>
        <v>2256.6924958547302</v>
      </c>
      <c r="H16" s="2">
        <f t="shared" si="2"/>
        <v>1.0576097916615932</v>
      </c>
      <c r="I16" s="2">
        <f t="shared" si="3"/>
        <v>3.1679536743703993</v>
      </c>
      <c r="J16">
        <f t="shared" si="4"/>
        <v>-17.978788500310777</v>
      </c>
      <c r="K16">
        <f t="shared" si="4"/>
        <v>-413.24843213666861</v>
      </c>
      <c r="L16">
        <f t="shared" si="5"/>
        <v>576.35366917689578</v>
      </c>
    </row>
    <row r="17" spans="1:12" x14ac:dyDescent="0.45">
      <c r="A17">
        <v>35</v>
      </c>
      <c r="B17">
        <v>100</v>
      </c>
      <c r="C17" s="4">
        <f t="shared" si="6"/>
        <v>1.0576097916615932</v>
      </c>
      <c r="D17" s="4">
        <f t="shared" si="6"/>
        <v>3.1679536743703993</v>
      </c>
      <c r="E17" s="4">
        <f t="shared" si="7"/>
        <v>111.93598839462557</v>
      </c>
      <c r="F17" s="6">
        <f t="shared" si="0"/>
        <v>23.871976789251136</v>
      </c>
      <c r="G17" s="6">
        <f t="shared" si="1"/>
        <v>835.51918762378978</v>
      </c>
      <c r="H17" s="2">
        <f t="shared" si="2"/>
        <v>1.0589891628587287</v>
      </c>
      <c r="I17" s="2">
        <f t="shared" si="3"/>
        <v>3.1967908413864614</v>
      </c>
      <c r="J17">
        <f t="shared" si="4"/>
        <v>-13.79371197135459</v>
      </c>
      <c r="K17">
        <f t="shared" si="4"/>
        <v>-288.37167016062278</v>
      </c>
      <c r="L17">
        <f t="shared" si="5"/>
        <v>142.46781895663625</v>
      </c>
    </row>
    <row r="18" spans="1:12" x14ac:dyDescent="0.45">
      <c r="A18">
        <v>9</v>
      </c>
      <c r="B18">
        <v>48</v>
      </c>
      <c r="C18" s="4">
        <f t="shared" si="6"/>
        <v>1.0589891628587287</v>
      </c>
      <c r="D18" s="4">
        <f t="shared" si="6"/>
        <v>3.1967908413864614</v>
      </c>
      <c r="E18" s="4">
        <f t="shared" si="7"/>
        <v>29.830106735336884</v>
      </c>
      <c r="F18" s="6">
        <f t="shared" si="0"/>
        <v>-36.339786529326233</v>
      </c>
      <c r="G18" s="6">
        <f t="shared" si="1"/>
        <v>-327.05807876393612</v>
      </c>
      <c r="H18" s="2">
        <f t="shared" si="2"/>
        <v>1.0605939948014438</v>
      </c>
      <c r="I18" s="2">
        <f t="shared" si="3"/>
        <v>3.2260148724885567</v>
      </c>
      <c r="J18">
        <f t="shared" si="4"/>
        <v>-16.048319427151753</v>
      </c>
      <c r="K18">
        <f t="shared" si="4"/>
        <v>-292.2403110209541</v>
      </c>
      <c r="L18">
        <f t="shared" si="5"/>
        <v>330.14502124925008</v>
      </c>
    </row>
    <row r="19" spans="1:12" x14ac:dyDescent="0.45">
      <c r="A19">
        <v>38</v>
      </c>
      <c r="B19">
        <v>106</v>
      </c>
      <c r="C19" s="4">
        <f t="shared" si="6"/>
        <v>1.0605939948014438</v>
      </c>
      <c r="D19" s="4">
        <f t="shared" si="6"/>
        <v>3.2260148724885567</v>
      </c>
      <c r="E19" s="4">
        <f t="shared" si="7"/>
        <v>123.6491591493666</v>
      </c>
      <c r="F19" s="6">
        <f t="shared" si="0"/>
        <v>35.298318298733193</v>
      </c>
      <c r="G19" s="6">
        <f t="shared" si="1"/>
        <v>1341.3360953518613</v>
      </c>
      <c r="H19" s="2">
        <f t="shared" si="2"/>
        <v>1.0616853603669001</v>
      </c>
      <c r="I19" s="2">
        <f t="shared" si="3"/>
        <v>3.2389031395269239</v>
      </c>
      <c r="J19">
        <f t="shared" si="4"/>
        <v>-10.913655654563261</v>
      </c>
      <c r="K19">
        <f t="shared" si="4"/>
        <v>-128.88267038367258</v>
      </c>
      <c r="L19">
        <f t="shared" si="5"/>
        <v>311.49281867967062</v>
      </c>
    </row>
    <row r="20" spans="1:12" x14ac:dyDescent="0.45">
      <c r="A20">
        <v>44</v>
      </c>
      <c r="B20">
        <v>118</v>
      </c>
      <c r="C20" s="4">
        <f t="shared" si="6"/>
        <v>1.0616853603669001</v>
      </c>
      <c r="D20" s="4">
        <f t="shared" si="6"/>
        <v>3.2389031395269239</v>
      </c>
      <c r="E20" s="4">
        <f t="shared" si="7"/>
        <v>143.57342349955155</v>
      </c>
      <c r="F20" s="6">
        <f t="shared" si="0"/>
        <v>51.146846999103104</v>
      </c>
      <c r="G20" s="6">
        <f t="shared" si="1"/>
        <v>2250.4612679605366</v>
      </c>
      <c r="H20" s="2">
        <f t="shared" si="2"/>
        <v>1.0621561209058197</v>
      </c>
      <c r="I20" s="2">
        <f t="shared" si="3"/>
        <v>3.2279979671818491</v>
      </c>
      <c r="J20">
        <f t="shared" si="4"/>
        <v>-4.7076053891966261</v>
      </c>
      <c r="K20">
        <f t="shared" si="4"/>
        <v>109.0517234507483</v>
      </c>
      <c r="L20">
        <f t="shared" si="5"/>
        <v>653.99998948741552</v>
      </c>
    </row>
    <row r="21" spans="1:12" x14ac:dyDescent="0.45">
      <c r="A21">
        <v>99</v>
      </c>
      <c r="B21">
        <v>228</v>
      </c>
      <c r="C21" s="4">
        <f t="shared" si="6"/>
        <v>1.0621561209058197</v>
      </c>
      <c r="D21" s="4">
        <f t="shared" si="6"/>
        <v>3.2279979671818491</v>
      </c>
      <c r="E21" s="4">
        <f t="shared" si="7"/>
        <v>320.63395487190883</v>
      </c>
      <c r="F21" s="6">
        <f t="shared" si="0"/>
        <v>185.26790974381765</v>
      </c>
      <c r="G21" s="6">
        <f t="shared" si="1"/>
        <v>18341.52306463795</v>
      </c>
      <c r="H21" s="2">
        <f t="shared" si="2"/>
        <v>1.0607271262934093</v>
      </c>
      <c r="I21" s="2">
        <f t="shared" si="3"/>
        <v>3.0347680814249021</v>
      </c>
      <c r="J21">
        <f t="shared" ref="J21:K32" si="8">J20*$J$1+$K$1*F21</f>
        <v>14.289946124104798</v>
      </c>
      <c r="K21">
        <f t="shared" si="8"/>
        <v>1932.2988575694681</v>
      </c>
      <c r="L21">
        <f t="shared" si="5"/>
        <v>8581.0495952108413</v>
      </c>
    </row>
    <row r="22" spans="1:12" x14ac:dyDescent="0.45">
      <c r="A22">
        <v>13</v>
      </c>
      <c r="B22">
        <v>56</v>
      </c>
      <c r="C22" s="4">
        <f t="shared" si="6"/>
        <v>1.0607271262934093</v>
      </c>
      <c r="D22" s="4">
        <f t="shared" si="6"/>
        <v>3.0347680814249021</v>
      </c>
      <c r="E22" s="4">
        <f t="shared" si="7"/>
        <v>40.512712184817133</v>
      </c>
      <c r="F22" s="6">
        <f t="shared" si="0"/>
        <v>-30.974575630365734</v>
      </c>
      <c r="G22" s="6">
        <f t="shared" si="1"/>
        <v>-402.66948319475455</v>
      </c>
      <c r="H22" s="2">
        <f t="shared" si="2"/>
        <v>1.0597507768985435</v>
      </c>
      <c r="I22" s="2">
        <f t="shared" si="3"/>
        <v>2.8648878790755976</v>
      </c>
      <c r="J22">
        <f t="shared" si="8"/>
        <v>9.7634939486577466</v>
      </c>
      <c r="K22">
        <f t="shared" si="8"/>
        <v>1698.8020234930459</v>
      </c>
      <c r="L22">
        <f t="shared" si="5"/>
        <v>239.85608387031172</v>
      </c>
    </row>
    <row r="23" spans="1:12" x14ac:dyDescent="0.45">
      <c r="A23">
        <v>21</v>
      </c>
      <c r="B23">
        <v>72</v>
      </c>
      <c r="C23" s="4">
        <f t="shared" si="6"/>
        <v>1.0597507768985435</v>
      </c>
      <c r="D23" s="4">
        <f t="shared" si="6"/>
        <v>2.8648878790755976</v>
      </c>
      <c r="E23" s="4">
        <f t="shared" si="7"/>
        <v>61.222396237486095</v>
      </c>
      <c r="F23" s="6">
        <f t="shared" si="0"/>
        <v>-21.555207525027811</v>
      </c>
      <c r="G23" s="6">
        <f t="shared" si="1"/>
        <v>-452.65935802558403</v>
      </c>
      <c r="H23" s="2">
        <f t="shared" si="2"/>
        <v>1.0590876145184145</v>
      </c>
      <c r="I23" s="2">
        <f t="shared" si="3"/>
        <v>2.7165222905414792</v>
      </c>
      <c r="J23">
        <f t="shared" si="8"/>
        <v>6.6316238012891908</v>
      </c>
      <c r="K23">
        <f t="shared" si="8"/>
        <v>1483.655885341183</v>
      </c>
      <c r="L23">
        <f t="shared" si="5"/>
        <v>116.15674286175388</v>
      </c>
    </row>
    <row r="24" spans="1:12" x14ac:dyDescent="0.45">
      <c r="A24">
        <v>28</v>
      </c>
      <c r="B24">
        <v>86</v>
      </c>
      <c r="C24" s="4">
        <f t="shared" si="6"/>
        <v>1.0590876145184145</v>
      </c>
      <c r="D24" s="4">
        <f t="shared" si="6"/>
        <v>2.7165222905414792</v>
      </c>
      <c r="E24" s="4">
        <f t="shared" si="7"/>
        <v>77.121711749679832</v>
      </c>
      <c r="F24" s="6">
        <f t="shared" si="0"/>
        <v>-17.756576500640335</v>
      </c>
      <c r="G24" s="6">
        <f t="shared" si="1"/>
        <v>-497.18414201792939</v>
      </c>
      <c r="H24" s="2">
        <f t="shared" si="2"/>
        <v>1.0586683341413048</v>
      </c>
      <c r="I24" s="2">
        <f t="shared" si="3"/>
        <v>2.5879651022809522</v>
      </c>
      <c r="J24">
        <f t="shared" si="8"/>
        <v>4.1928037710962389</v>
      </c>
      <c r="K24">
        <f t="shared" si="8"/>
        <v>1285.5718826052719</v>
      </c>
      <c r="L24">
        <f t="shared" si="5"/>
        <v>78.824002255773138</v>
      </c>
    </row>
    <row r="25" spans="1:12" x14ac:dyDescent="0.45">
      <c r="A25">
        <v>20</v>
      </c>
      <c r="B25">
        <v>70</v>
      </c>
      <c r="C25" s="4">
        <f t="shared" si="6"/>
        <v>1.0586683341413048</v>
      </c>
      <c r="D25" s="4">
        <f t="shared" si="6"/>
        <v>2.5879651022809522</v>
      </c>
      <c r="E25" s="4">
        <f t="shared" si="7"/>
        <v>52.817970379760347</v>
      </c>
      <c r="F25" s="6">
        <f t="shared" si="0"/>
        <v>-34.364059240479307</v>
      </c>
      <c r="G25" s="6">
        <f t="shared" si="1"/>
        <v>-687.28118480958619</v>
      </c>
      <c r="H25" s="2">
        <f t="shared" si="2"/>
        <v>1.0586346223943108</v>
      </c>
      <c r="I25" s="2">
        <f t="shared" si="3"/>
        <v>2.4791364446945736</v>
      </c>
      <c r="J25">
        <f t="shared" si="8"/>
        <v>0.33711746993868541</v>
      </c>
      <c r="K25">
        <f t="shared" si="8"/>
        <v>1088.2865758637861</v>
      </c>
      <c r="L25">
        <f t="shared" si="5"/>
        <v>295.22214187079283</v>
      </c>
    </row>
    <row r="26" spans="1:12" x14ac:dyDescent="0.45">
      <c r="A26">
        <v>8</v>
      </c>
      <c r="B26">
        <v>46</v>
      </c>
      <c r="C26" s="4">
        <f t="shared" si="6"/>
        <v>1.0586346223943108</v>
      </c>
      <c r="D26" s="4">
        <f t="shared" si="6"/>
        <v>2.4791364446945736</v>
      </c>
      <c r="E26" s="4">
        <f t="shared" si="7"/>
        <v>20.891726179950901</v>
      </c>
      <c r="F26" s="6">
        <f t="shared" si="0"/>
        <v>-50.216547640098199</v>
      </c>
      <c r="G26" s="6">
        <f t="shared" si="1"/>
        <v>-401.73238112078559</v>
      </c>
      <c r="H26" s="2">
        <f t="shared" si="2"/>
        <v>1.0591064472984173</v>
      </c>
      <c r="I26" s="2">
        <f t="shared" si="3"/>
        <v>2.3852079766780405</v>
      </c>
      <c r="J26">
        <f t="shared" si="8"/>
        <v>-4.7182490410650022</v>
      </c>
      <c r="K26">
        <f t="shared" si="8"/>
        <v>939.28468016532895</v>
      </c>
      <c r="L26">
        <f t="shared" si="5"/>
        <v>630.42541422256295</v>
      </c>
    </row>
    <row r="27" spans="1:12" x14ac:dyDescent="0.45">
      <c r="A27">
        <v>64</v>
      </c>
      <c r="B27">
        <v>158</v>
      </c>
      <c r="C27" s="4">
        <f t="shared" si="6"/>
        <v>1.0591064472984173</v>
      </c>
      <c r="D27" s="4">
        <f t="shared" si="6"/>
        <v>2.3852079766780405</v>
      </c>
      <c r="E27" s="4">
        <f t="shared" si="7"/>
        <v>153.712416954693</v>
      </c>
      <c r="F27" s="6">
        <f t="shared" si="0"/>
        <v>-8.5751660906140046</v>
      </c>
      <c r="G27" s="6">
        <f t="shared" si="1"/>
        <v>-548.81062979929629</v>
      </c>
      <c r="H27" s="2">
        <f t="shared" si="2"/>
        <v>1.0596168413730194</v>
      </c>
      <c r="I27" s="2">
        <f t="shared" si="3"/>
        <v>2.306160461761154</v>
      </c>
      <c r="J27">
        <f t="shared" si="8"/>
        <v>-5.1039407460199024</v>
      </c>
      <c r="K27">
        <f t="shared" si="8"/>
        <v>790.47514916886644</v>
      </c>
      <c r="L27">
        <f t="shared" si="5"/>
        <v>18.383368370404067</v>
      </c>
    </row>
    <row r="28" spans="1:12" x14ac:dyDescent="0.45">
      <c r="A28">
        <v>99</v>
      </c>
      <c r="B28">
        <v>228</v>
      </c>
      <c r="C28" s="4">
        <f t="shared" si="6"/>
        <v>1.0596168413730194</v>
      </c>
      <c r="D28" s="4">
        <f t="shared" si="6"/>
        <v>2.306160461761154</v>
      </c>
      <c r="E28" s="4">
        <f t="shared" si="7"/>
        <v>229.36950255572725</v>
      </c>
      <c r="F28" s="6">
        <f t="shared" si="0"/>
        <v>2.7390051114545031</v>
      </c>
      <c r="G28" s="6">
        <f t="shared" si="1"/>
        <v>271.16150603399581</v>
      </c>
      <c r="H28" s="2">
        <f t="shared" si="2"/>
        <v>1.0600488059890467</v>
      </c>
      <c r="I28" s="2">
        <f t="shared" si="3"/>
        <v>2.2323060832756161</v>
      </c>
      <c r="J28">
        <f t="shared" si="8"/>
        <v>-4.3196461602724616</v>
      </c>
      <c r="K28">
        <f t="shared" si="8"/>
        <v>738.54378485537939</v>
      </c>
      <c r="L28">
        <f t="shared" si="5"/>
        <v>1.8755372501434737</v>
      </c>
    </row>
    <row r="29" spans="1:12" x14ac:dyDescent="0.45">
      <c r="A29">
        <v>70</v>
      </c>
      <c r="B29">
        <v>170</v>
      </c>
      <c r="C29" s="4">
        <f t="shared" si="6"/>
        <v>1.0600488059890467</v>
      </c>
      <c r="D29" s="4">
        <f t="shared" si="6"/>
        <v>2.2323060832756161</v>
      </c>
      <c r="E29" s="4">
        <f t="shared" si="7"/>
        <v>157.32147463528219</v>
      </c>
      <c r="F29" s="6">
        <f t="shared" si="0"/>
        <v>-25.357050729435628</v>
      </c>
      <c r="G29" s="6">
        <f t="shared" si="1"/>
        <v>-1774.9935510604939</v>
      </c>
      <c r="H29" s="2">
        <f t="shared" si="2"/>
        <v>1.0606911446507656</v>
      </c>
      <c r="I29" s="2">
        <f t="shared" si="3"/>
        <v>2.183587078149237</v>
      </c>
      <c r="J29">
        <f t="shared" si="8"/>
        <v>-6.4233866171887781</v>
      </c>
      <c r="K29">
        <f t="shared" si="8"/>
        <v>487.19005126379204</v>
      </c>
      <c r="L29">
        <f t="shared" si="5"/>
        <v>160.74500542379297</v>
      </c>
    </row>
    <row r="30" spans="1:12" x14ac:dyDescent="0.45">
      <c r="A30">
        <v>27</v>
      </c>
      <c r="B30">
        <v>84</v>
      </c>
      <c r="C30" s="4">
        <f t="shared" si="6"/>
        <v>1.0606911446507656</v>
      </c>
      <c r="D30" s="4">
        <f t="shared" si="6"/>
        <v>2.183587078149237</v>
      </c>
      <c r="E30" s="4">
        <f t="shared" si="7"/>
        <v>60.017542254680166</v>
      </c>
      <c r="F30" s="6">
        <f t="shared" si="0"/>
        <v>-47.964915490639669</v>
      </c>
      <c r="G30" s="6">
        <f t="shared" si="1"/>
        <v>-1295.0527182472711</v>
      </c>
      <c r="H30" s="2">
        <f t="shared" si="2"/>
        <v>1.0617488986012191</v>
      </c>
      <c r="I30" s="2">
        <f t="shared" si="3"/>
        <v>2.1526905007179686</v>
      </c>
      <c r="J30">
        <f t="shared" si="8"/>
        <v>-10.577539504533867</v>
      </c>
      <c r="K30">
        <f t="shared" si="8"/>
        <v>308.96577431268577</v>
      </c>
      <c r="L30">
        <f t="shared" si="5"/>
        <v>575.15827950605137</v>
      </c>
    </row>
    <row r="31" spans="1:12" x14ac:dyDescent="0.45">
      <c r="A31">
        <v>17</v>
      </c>
      <c r="B31">
        <v>64</v>
      </c>
      <c r="C31" s="4">
        <f t="shared" si="6"/>
        <v>1.0617488986012191</v>
      </c>
      <c r="D31" s="4">
        <f t="shared" si="6"/>
        <v>2.1526905007179686</v>
      </c>
      <c r="E31" s="4">
        <f t="shared" si="7"/>
        <v>37.657487410806681</v>
      </c>
      <c r="F31" s="6">
        <f t="shared" si="0"/>
        <v>-52.685025178386638</v>
      </c>
      <c r="G31" s="6">
        <f t="shared" si="1"/>
        <v>-895.64542803257291</v>
      </c>
      <c r="H31" s="2">
        <f t="shared" si="2"/>
        <v>1.063227727408411</v>
      </c>
      <c r="I31" s="2">
        <f t="shared" si="3"/>
        <v>2.1338400353101528</v>
      </c>
      <c r="J31">
        <f t="shared" si="8"/>
        <v>-14.788288071919142</v>
      </c>
      <c r="K31">
        <f t="shared" si="8"/>
        <v>188.50465407815994</v>
      </c>
      <c r="L31">
        <f t="shared" si="5"/>
        <v>693.92796951180856</v>
      </c>
    </row>
    <row r="32" spans="1:12" x14ac:dyDescent="0.45">
      <c r="A32">
        <v>8</v>
      </c>
      <c r="B32">
        <v>46</v>
      </c>
      <c r="C32" s="4">
        <f t="shared" si="6"/>
        <v>1.063227727408411</v>
      </c>
      <c r="D32" s="4">
        <f t="shared" si="6"/>
        <v>2.1338400353101528</v>
      </c>
      <c r="E32" s="4">
        <f t="shared" si="7"/>
        <v>18.133948009889632</v>
      </c>
      <c r="F32" s="6">
        <f t="shared" si="0"/>
        <v>-55.732103980220735</v>
      </c>
      <c r="G32" s="6">
        <f t="shared" si="1"/>
        <v>-445.85683184176588</v>
      </c>
      <c r="H32" s="2">
        <f t="shared" si="2"/>
        <v>1.065115994374686</v>
      </c>
      <c r="I32" s="2">
        <f t="shared" si="3"/>
        <v>2.1213331847615362</v>
      </c>
      <c r="J32">
        <f t="shared" si="8"/>
        <v>-18.882669662749301</v>
      </c>
      <c r="K32">
        <f t="shared" si="8"/>
        <v>125.06850548616737</v>
      </c>
      <c r="L32">
        <f t="shared" si="5"/>
        <v>776.51685351553397</v>
      </c>
    </row>
    <row r="33" spans="1:13" x14ac:dyDescent="0.45">
      <c r="A33" s="6"/>
      <c r="B33" s="6"/>
      <c r="H33" s="2"/>
      <c r="J33">
        <v>-18.333926690207889</v>
      </c>
      <c r="K33">
        <v>98.245830392128539</v>
      </c>
      <c r="L33">
        <f>SQRT(SUM(L4:L32))</f>
        <v>200.96518460127609</v>
      </c>
      <c r="M33"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14288</xdr:colOff>
                    <xdr:row>0</xdr:row>
                    <xdr:rowOff>14288</xdr:rowOff>
                  </from>
                  <to>
                    <xdr:col>0</xdr:col>
                    <xdr:colOff>642938</xdr:colOff>
                    <xdr:row>0</xdr:row>
                    <xdr:rowOff>176213</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14288</xdr:colOff>
                    <xdr:row>1</xdr:row>
                    <xdr:rowOff>14288</xdr:rowOff>
                  </from>
                  <to>
                    <xdr:col>0</xdr:col>
                    <xdr:colOff>642938</xdr:colOff>
                    <xdr:row>1</xdr:row>
                    <xdr:rowOff>176213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msprop"/>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defaultRowHeight="14.25" x14ac:dyDescent="0.45"/>
  <cols>
    <col min="3" max="3" width="8.796875" style="4" customWidth="1"/>
    <col min="4" max="4" width="10.796875" style="4" bestFit="1" customWidth="1"/>
    <col min="5" max="5" width="9.19921875" style="4" bestFit="1" customWidth="1"/>
    <col min="6" max="6" width="10.796875" style="6" bestFit="1" customWidth="1"/>
    <col min="7" max="7" width="10.19921875" style="6" bestFit="1" customWidth="1"/>
    <col min="8" max="8" width="8.33203125" bestFit="1" customWidth="1"/>
    <col min="9" max="9" width="5.796875" bestFit="1" customWidth="1"/>
    <col min="10" max="10" width="8.33203125" customWidth="1"/>
    <col min="11" max="11" width="11.73046875" bestFit="1" customWidth="1"/>
  </cols>
  <sheetData>
    <row r="1" spans="1:11" x14ac:dyDescent="0.45">
      <c r="B1" t="s">
        <v>21</v>
      </c>
      <c r="C1" s="4">
        <v>3.1890676512613103</v>
      </c>
      <c r="D1" s="4" t="s">
        <v>14</v>
      </c>
      <c r="J1">
        <v>0.9</v>
      </c>
      <c r="K1">
        <f>1-J1</f>
        <v>9.9999999999999978E-2</v>
      </c>
    </row>
    <row r="2" spans="1:11" x14ac:dyDescent="0.45">
      <c r="B2" t="s">
        <v>22</v>
      </c>
      <c r="C2" s="4">
        <v>2.4036203537069443</v>
      </c>
      <c r="D2">
        <v>0.02</v>
      </c>
      <c r="F2" s="8"/>
      <c r="G2" s="8"/>
    </row>
    <row r="3" spans="1:11" s="1" customFormat="1" x14ac:dyDescent="0.45">
      <c r="A3" s="1" t="s">
        <v>15</v>
      </c>
      <c r="B3" s="1" t="s">
        <v>16</v>
      </c>
      <c r="C3" s="5" t="s">
        <v>21</v>
      </c>
      <c r="D3" s="5" t="s">
        <v>22</v>
      </c>
      <c r="E3" s="5" t="s">
        <v>18</v>
      </c>
      <c r="F3" s="7" t="s">
        <v>6</v>
      </c>
      <c r="G3" s="7" t="s">
        <v>9</v>
      </c>
      <c r="H3" s="1" t="s">
        <v>13</v>
      </c>
      <c r="I3" s="1" t="s">
        <v>12</v>
      </c>
      <c r="J3">
        <f>J33</f>
        <v>1134.4241521916742</v>
      </c>
      <c r="K3">
        <f>K33</f>
        <v>1679911.3688917186</v>
      </c>
    </row>
    <row r="4" spans="1:11" x14ac:dyDescent="0.45">
      <c r="A4">
        <v>14</v>
      </c>
      <c r="B4">
        <v>58</v>
      </c>
      <c r="C4" s="4">
        <f>C1</f>
        <v>3.1890676512613103</v>
      </c>
      <c r="D4" s="4">
        <f>C2</f>
        <v>2.4036203537069443</v>
      </c>
      <c r="E4" s="4">
        <f>C4+D4*A4</f>
        <v>36.83975260315853</v>
      </c>
      <c r="F4" s="6">
        <f t="shared" ref="F4:F32" si="0">2*(D4*A4+C4-B4)</f>
        <v>-42.32049479368294</v>
      </c>
      <c r="G4" s="6">
        <f t="shared" ref="G4:G32" si="1">F4*A4</f>
        <v>-592.48692711156116</v>
      </c>
      <c r="H4" s="2">
        <f t="shared" ref="H4:H32" si="2">C4-F4*$D$2/SQRT(J3)</f>
        <v>3.2141976808661576</v>
      </c>
      <c r="I4" s="2">
        <f t="shared" ref="I4:I32" si="3">D4-G4*$D$2/SQRT(K3)</f>
        <v>2.4127628666403353</v>
      </c>
      <c r="J4">
        <f t="shared" ref="J4:J32" si="4">J3*$J$1+$K$1*F4^2</f>
        <v>1200.0841649307213</v>
      </c>
      <c r="K4">
        <f t="shared" ref="K4:K32" si="5">K3*$J$1+$K$1*G4^2</f>
        <v>1547024.3078823569</v>
      </c>
    </row>
    <row r="5" spans="1:11" x14ac:dyDescent="0.45">
      <c r="A5">
        <v>86</v>
      </c>
      <c r="B5">
        <v>202</v>
      </c>
      <c r="C5" s="4">
        <f>H4</f>
        <v>3.2141976808661576</v>
      </c>
      <c r="D5" s="4">
        <f>I4</f>
        <v>2.4127628666403353</v>
      </c>
      <c r="E5" s="4">
        <f>C5+D5*A5</f>
        <v>210.711804211935</v>
      </c>
      <c r="F5" s="6">
        <f t="shared" si="0"/>
        <v>17.423608423870007</v>
      </c>
      <c r="G5" s="6">
        <f t="shared" si="1"/>
        <v>1498.4303244528205</v>
      </c>
      <c r="H5" s="2">
        <f t="shared" si="2"/>
        <v>3.2041385086085032</v>
      </c>
      <c r="I5" s="2">
        <f t="shared" si="3"/>
        <v>2.3886683632066288</v>
      </c>
      <c r="J5">
        <f t="shared" si="4"/>
        <v>1110.4339614884846</v>
      </c>
      <c r="K5">
        <f t="shared" si="5"/>
        <v>1616851.2208180996</v>
      </c>
    </row>
    <row r="6" spans="1:11" x14ac:dyDescent="0.45">
      <c r="A6">
        <v>28</v>
      </c>
      <c r="B6">
        <v>86</v>
      </c>
      <c r="C6" s="4">
        <f>H5</f>
        <v>3.2041385086085032</v>
      </c>
      <c r="D6" s="4">
        <f>I5</f>
        <v>2.3886683632066288</v>
      </c>
      <c r="E6" s="4">
        <f>C6+D6*A6</f>
        <v>70.086852678394109</v>
      </c>
      <c r="F6" s="6">
        <f t="shared" si="0"/>
        <v>-31.826294643211781</v>
      </c>
      <c r="G6" s="6">
        <f t="shared" si="1"/>
        <v>-891.13625000992988</v>
      </c>
      <c r="H6" s="2">
        <f t="shared" si="2"/>
        <v>3.2232401068695418</v>
      </c>
      <c r="I6" s="2">
        <f t="shared" si="3"/>
        <v>2.4026848469176771</v>
      </c>
      <c r="J6">
        <f t="shared" si="4"/>
        <v>1100.6818684112893</v>
      </c>
      <c r="K6">
        <f t="shared" si="5"/>
        <v>1534578.4803444657</v>
      </c>
    </row>
    <row r="7" spans="1:11" x14ac:dyDescent="0.45">
      <c r="A7">
        <v>51</v>
      </c>
      <c r="B7">
        <v>132</v>
      </c>
      <c r="C7" s="4">
        <f t="shared" ref="C7:D32" si="6">H6</f>
        <v>3.2232401068695418</v>
      </c>
      <c r="D7" s="4">
        <f t="shared" si="6"/>
        <v>2.4026848469176771</v>
      </c>
      <c r="E7" s="4">
        <f t="shared" ref="E7:E32" si="7">C7+D7*A7</f>
        <v>125.76016729967107</v>
      </c>
      <c r="F7" s="6">
        <f t="shared" si="0"/>
        <v>-12.479665400657865</v>
      </c>
      <c r="G7" s="6">
        <f t="shared" si="1"/>
        <v>-636.46293543355114</v>
      </c>
      <c r="H7" s="2">
        <f t="shared" si="2"/>
        <v>3.2307632968815265</v>
      </c>
      <c r="I7" s="2">
        <f t="shared" si="3"/>
        <v>2.4129604793614008</v>
      </c>
      <c r="J7">
        <f t="shared" si="4"/>
        <v>1006.1878864213982</v>
      </c>
      <c r="K7">
        <f t="shared" si="5"/>
        <v>1421629.1391280885</v>
      </c>
    </row>
    <row r="8" spans="1:11" x14ac:dyDescent="0.45">
      <c r="A8">
        <v>28</v>
      </c>
      <c r="B8">
        <v>86</v>
      </c>
      <c r="C8" s="4">
        <f t="shared" si="6"/>
        <v>3.2307632968815265</v>
      </c>
      <c r="D8" s="4">
        <f t="shared" si="6"/>
        <v>2.4129604793614008</v>
      </c>
      <c r="E8" s="4">
        <f t="shared" si="7"/>
        <v>70.793656719000737</v>
      </c>
      <c r="F8" s="6">
        <f t="shared" si="0"/>
        <v>-30.412686561998527</v>
      </c>
      <c r="G8" s="6">
        <f t="shared" si="1"/>
        <v>-851.55522373595875</v>
      </c>
      <c r="H8" s="2">
        <f t="shared" si="2"/>
        <v>3.2499387325281552</v>
      </c>
      <c r="I8" s="2">
        <f t="shared" si="3"/>
        <v>2.4272444732186895</v>
      </c>
      <c r="J8">
        <f t="shared" si="4"/>
        <v>998.06224817109501</v>
      </c>
      <c r="K8">
        <f t="shared" si="5"/>
        <v>1351980.8551224796</v>
      </c>
    </row>
    <row r="9" spans="1:11" x14ac:dyDescent="0.45">
      <c r="A9">
        <v>29</v>
      </c>
      <c r="B9">
        <v>88</v>
      </c>
      <c r="C9" s="4">
        <f t="shared" si="6"/>
        <v>3.2499387325281552</v>
      </c>
      <c r="D9" s="4">
        <f t="shared" si="6"/>
        <v>2.4272444732186895</v>
      </c>
      <c r="E9" s="4">
        <f t="shared" si="7"/>
        <v>73.640028455870151</v>
      </c>
      <c r="F9" s="6">
        <f t="shared" si="0"/>
        <v>-28.719943088259697</v>
      </c>
      <c r="G9" s="6">
        <f t="shared" si="1"/>
        <v>-832.87834955953122</v>
      </c>
      <c r="H9" s="2">
        <f t="shared" si="2"/>
        <v>3.2681204437781823</v>
      </c>
      <c r="I9" s="2">
        <f t="shared" si="3"/>
        <v>2.4415705177781128</v>
      </c>
      <c r="J9">
        <f t="shared" si="4"/>
        <v>980.7395364532731</v>
      </c>
      <c r="K9">
        <f t="shared" si="5"/>
        <v>1286151.4041267326</v>
      </c>
    </row>
    <row r="10" spans="1:11" x14ac:dyDescent="0.45">
      <c r="A10">
        <v>72</v>
      </c>
      <c r="B10">
        <v>174</v>
      </c>
      <c r="C10" s="4">
        <f t="shared" si="6"/>
        <v>3.2681204437781823</v>
      </c>
      <c r="D10" s="4">
        <f t="shared" si="6"/>
        <v>2.4415705177781128</v>
      </c>
      <c r="E10" s="4">
        <f t="shared" si="7"/>
        <v>179.06119772380231</v>
      </c>
      <c r="F10" s="6">
        <f t="shared" si="0"/>
        <v>10.122395447604617</v>
      </c>
      <c r="G10" s="6">
        <f t="shared" si="1"/>
        <v>728.81247222753245</v>
      </c>
      <c r="H10" s="2">
        <f t="shared" si="2"/>
        <v>3.2616559212432521</v>
      </c>
      <c r="I10" s="2">
        <f t="shared" si="3"/>
        <v>2.4287176587635164</v>
      </c>
      <c r="J10">
        <f t="shared" si="4"/>
        <v>892.9118717677145</v>
      </c>
      <c r="K10">
        <f t="shared" si="5"/>
        <v>1210653.0256815003</v>
      </c>
    </row>
    <row r="11" spans="1:11" x14ac:dyDescent="0.45">
      <c r="A11">
        <v>62</v>
      </c>
      <c r="B11">
        <v>154</v>
      </c>
      <c r="C11" s="4">
        <f t="shared" si="6"/>
        <v>3.2616559212432521</v>
      </c>
      <c r="D11" s="4">
        <f t="shared" si="6"/>
        <v>2.4287176587635164</v>
      </c>
      <c r="E11" s="4">
        <f t="shared" si="7"/>
        <v>153.84215076458128</v>
      </c>
      <c r="F11" s="6">
        <f t="shared" si="0"/>
        <v>-0.31569847083744662</v>
      </c>
      <c r="G11" s="6">
        <f t="shared" si="1"/>
        <v>-19.57330519192169</v>
      </c>
      <c r="H11" s="2">
        <f t="shared" si="2"/>
        <v>3.2618672206001986</v>
      </c>
      <c r="I11" s="2">
        <f t="shared" si="3"/>
        <v>2.4290734410464982</v>
      </c>
      <c r="J11">
        <f t="shared" si="4"/>
        <v>803.6306511433919</v>
      </c>
      <c r="K11">
        <f t="shared" si="5"/>
        <v>1089626.0345409641</v>
      </c>
    </row>
    <row r="12" spans="1:11" x14ac:dyDescent="0.45">
      <c r="A12">
        <v>84</v>
      </c>
      <c r="B12">
        <v>198</v>
      </c>
      <c r="C12" s="4">
        <f t="shared" si="6"/>
        <v>3.2618672206001986</v>
      </c>
      <c r="D12" s="4">
        <f t="shared" si="6"/>
        <v>2.4290734410464982</v>
      </c>
      <c r="E12" s="4">
        <f t="shared" si="7"/>
        <v>207.30403626850605</v>
      </c>
      <c r="F12" s="6">
        <f t="shared" si="0"/>
        <v>18.608072537012106</v>
      </c>
      <c r="G12" s="6">
        <f t="shared" si="1"/>
        <v>1563.0780931090169</v>
      </c>
      <c r="H12" s="2">
        <f t="shared" si="2"/>
        <v>3.248739082408282</v>
      </c>
      <c r="I12" s="2">
        <f t="shared" si="3"/>
        <v>2.39912515749509</v>
      </c>
      <c r="J12">
        <f t="shared" si="4"/>
        <v>757.89362238332319</v>
      </c>
      <c r="K12">
        <f t="shared" si="5"/>
        <v>1224984.7436025997</v>
      </c>
    </row>
    <row r="13" spans="1:11" x14ac:dyDescent="0.45">
      <c r="A13">
        <v>15</v>
      </c>
      <c r="B13">
        <v>60</v>
      </c>
      <c r="C13" s="4">
        <f t="shared" si="6"/>
        <v>3.248739082408282</v>
      </c>
      <c r="D13" s="4">
        <f t="shared" si="6"/>
        <v>2.39912515749509</v>
      </c>
      <c r="E13" s="4">
        <f t="shared" si="7"/>
        <v>39.235616444834633</v>
      </c>
      <c r="F13" s="6">
        <f t="shared" si="0"/>
        <v>-41.528767110330733</v>
      </c>
      <c r="G13" s="6">
        <f t="shared" si="1"/>
        <v>-622.93150665496103</v>
      </c>
      <c r="H13" s="2">
        <f t="shared" si="2"/>
        <v>3.2789090544375505</v>
      </c>
      <c r="I13" s="2">
        <f t="shared" si="3"/>
        <v>2.4103816983755535</v>
      </c>
      <c r="J13">
        <f t="shared" si="4"/>
        <v>854.56810991539965</v>
      </c>
      <c r="K13">
        <f t="shared" si="5"/>
        <v>1141290.6354406818</v>
      </c>
    </row>
    <row r="14" spans="1:11" x14ac:dyDescent="0.45">
      <c r="A14">
        <v>42</v>
      </c>
      <c r="B14">
        <v>114</v>
      </c>
      <c r="C14" s="4">
        <f t="shared" si="6"/>
        <v>3.2789090544375505</v>
      </c>
      <c r="D14" s="4">
        <f t="shared" si="6"/>
        <v>2.4103816983755535</v>
      </c>
      <c r="E14" s="4">
        <f t="shared" si="7"/>
        <v>104.5149403862108</v>
      </c>
      <c r="F14" s="6">
        <f t="shared" si="0"/>
        <v>-18.970119227578408</v>
      </c>
      <c r="G14" s="6">
        <f t="shared" si="1"/>
        <v>-796.74500755829308</v>
      </c>
      <c r="H14" s="2">
        <f t="shared" si="2"/>
        <v>3.2918876205890109</v>
      </c>
      <c r="I14" s="2">
        <f t="shared" si="3"/>
        <v>2.4252976587040864</v>
      </c>
      <c r="J14">
        <f t="shared" si="4"/>
        <v>805.0978412747138</v>
      </c>
      <c r="K14">
        <f t="shared" si="5"/>
        <v>1090641.8326035202</v>
      </c>
    </row>
    <row r="15" spans="1:11" x14ac:dyDescent="0.45">
      <c r="A15">
        <v>62</v>
      </c>
      <c r="B15">
        <v>154</v>
      </c>
      <c r="C15" s="4">
        <f t="shared" si="6"/>
        <v>3.2918876205890109</v>
      </c>
      <c r="D15" s="4">
        <f>I14</f>
        <v>2.4252976587040864</v>
      </c>
      <c r="E15" s="4">
        <f t="shared" si="7"/>
        <v>153.66034246024239</v>
      </c>
      <c r="F15" s="6">
        <f t="shared" si="0"/>
        <v>-0.67931507951522008</v>
      </c>
      <c r="G15" s="6">
        <f t="shared" si="1"/>
        <v>-42.117534929943645</v>
      </c>
      <c r="H15" s="2">
        <f t="shared" si="2"/>
        <v>3.2923664457019806</v>
      </c>
      <c r="I15" s="2">
        <f t="shared" si="3"/>
        <v>2.4261042469049374</v>
      </c>
      <c r="J15">
        <f t="shared" si="4"/>
        <v>724.6342040449681</v>
      </c>
      <c r="K15">
        <f t="shared" si="5"/>
        <v>981755.03801802569</v>
      </c>
    </row>
    <row r="16" spans="1:11" x14ac:dyDescent="0.45">
      <c r="A16">
        <v>47</v>
      </c>
      <c r="B16">
        <v>124</v>
      </c>
      <c r="C16" s="4">
        <f t="shared" si="6"/>
        <v>3.2923664457019806</v>
      </c>
      <c r="D16" s="4">
        <f t="shared" si="6"/>
        <v>2.4261042469049374</v>
      </c>
      <c r="E16" s="4">
        <f t="shared" si="7"/>
        <v>117.31926605023405</v>
      </c>
      <c r="F16" s="6">
        <f t="shared" si="0"/>
        <v>-13.361467899531903</v>
      </c>
      <c r="G16" s="6">
        <f t="shared" si="1"/>
        <v>-627.98899127799939</v>
      </c>
      <c r="H16" s="2">
        <f t="shared" si="2"/>
        <v>3.3022935995721396</v>
      </c>
      <c r="I16" s="2">
        <f t="shared" si="3"/>
        <v>2.4387801951385244</v>
      </c>
      <c r="J16">
        <f t="shared" si="4"/>
        <v>670.02366608349348</v>
      </c>
      <c r="K16">
        <f t="shared" si="5"/>
        <v>923016.5515328591</v>
      </c>
    </row>
    <row r="17" spans="1:11" x14ac:dyDescent="0.45">
      <c r="A17">
        <v>35</v>
      </c>
      <c r="B17">
        <v>100</v>
      </c>
      <c r="C17" s="4">
        <f t="shared" si="6"/>
        <v>3.3022935995721396</v>
      </c>
      <c r="D17" s="4">
        <f t="shared" si="6"/>
        <v>2.4387801951385244</v>
      </c>
      <c r="E17" s="4">
        <f t="shared" si="7"/>
        <v>88.659600429420493</v>
      </c>
      <c r="F17" s="6">
        <f t="shared" si="0"/>
        <v>-22.680799141159014</v>
      </c>
      <c r="G17" s="6">
        <f t="shared" si="1"/>
        <v>-793.82796994056548</v>
      </c>
      <c r="H17" s="2">
        <f t="shared" si="2"/>
        <v>3.3198180043848082</v>
      </c>
      <c r="I17" s="2">
        <f t="shared" si="3"/>
        <v>2.455305582492739</v>
      </c>
      <c r="J17">
        <f t="shared" si="4"/>
        <v>654.46316444330409</v>
      </c>
      <c r="K17">
        <f t="shared" si="5"/>
        <v>893731.1809655691</v>
      </c>
    </row>
    <row r="18" spans="1:11" x14ac:dyDescent="0.45">
      <c r="A18">
        <v>9</v>
      </c>
      <c r="B18">
        <v>48</v>
      </c>
      <c r="C18" s="4">
        <f t="shared" si="6"/>
        <v>3.3198180043848082</v>
      </c>
      <c r="D18" s="4">
        <f t="shared" si="6"/>
        <v>2.455305582492739</v>
      </c>
      <c r="E18" s="4">
        <f t="shared" si="7"/>
        <v>25.417568246819457</v>
      </c>
      <c r="F18" s="6">
        <f t="shared" si="0"/>
        <v>-45.164863506361087</v>
      </c>
      <c r="G18" s="6">
        <f t="shared" si="1"/>
        <v>-406.48377155724978</v>
      </c>
      <c r="H18" s="2">
        <f t="shared" si="2"/>
        <v>3.3551272219395418</v>
      </c>
      <c r="I18" s="2">
        <f t="shared" si="3"/>
        <v>2.4639050142051455</v>
      </c>
      <c r="J18">
        <f t="shared" si="4"/>
        <v>793.00333755379643</v>
      </c>
      <c r="K18">
        <f t="shared" si="5"/>
        <v>820880.96852295287</v>
      </c>
    </row>
    <row r="19" spans="1:11" x14ac:dyDescent="0.45">
      <c r="A19">
        <v>38</v>
      </c>
      <c r="B19">
        <v>106</v>
      </c>
      <c r="C19" s="4">
        <f t="shared" si="6"/>
        <v>3.3551272219395418</v>
      </c>
      <c r="D19" s="4">
        <f t="shared" si="6"/>
        <v>2.4639050142051455</v>
      </c>
      <c r="E19" s="4">
        <f t="shared" si="7"/>
        <v>96.983517761735072</v>
      </c>
      <c r="F19" s="6">
        <f t="shared" si="0"/>
        <v>-18.032964476529855</v>
      </c>
      <c r="G19" s="6">
        <f t="shared" si="1"/>
        <v>-685.2526501081345</v>
      </c>
      <c r="H19" s="2">
        <f t="shared" si="2"/>
        <v>3.3679345818817636</v>
      </c>
      <c r="I19" s="2">
        <f t="shared" si="3"/>
        <v>2.4790315899337116</v>
      </c>
      <c r="J19">
        <f t="shared" si="4"/>
        <v>746.22178457959558</v>
      </c>
      <c r="K19">
        <f t="shared" si="5"/>
        <v>785749.99111867975</v>
      </c>
    </row>
    <row r="20" spans="1:11" x14ac:dyDescent="0.45">
      <c r="A20">
        <v>44</v>
      </c>
      <c r="B20">
        <v>118</v>
      </c>
      <c r="C20" s="4">
        <f t="shared" si="6"/>
        <v>3.3679345818817636</v>
      </c>
      <c r="D20" s="4">
        <f t="shared" si="6"/>
        <v>2.4790315899337116</v>
      </c>
      <c r="E20" s="4">
        <f t="shared" si="7"/>
        <v>112.44532453896508</v>
      </c>
      <c r="F20" s="6">
        <f t="shared" si="0"/>
        <v>-11.109350922069837</v>
      </c>
      <c r="G20" s="6">
        <f t="shared" si="1"/>
        <v>-488.81144057107281</v>
      </c>
      <c r="H20" s="2">
        <f t="shared" si="2"/>
        <v>3.3760682176328558</v>
      </c>
      <c r="I20" s="2">
        <f t="shared" si="3"/>
        <v>2.4900604128927575</v>
      </c>
      <c r="J20">
        <f t="shared" si="4"/>
        <v>683.9413739126054</v>
      </c>
      <c r="K20">
        <f t="shared" si="5"/>
        <v>731068.65445012855</v>
      </c>
    </row>
    <row r="21" spans="1:11" x14ac:dyDescent="0.45">
      <c r="A21">
        <v>99</v>
      </c>
      <c r="B21">
        <v>228</v>
      </c>
      <c r="C21" s="4">
        <f t="shared" si="6"/>
        <v>3.3760682176328558</v>
      </c>
      <c r="D21" s="4">
        <f t="shared" si="6"/>
        <v>2.4900604128927575</v>
      </c>
      <c r="E21" s="4">
        <f t="shared" si="7"/>
        <v>249.89204909401585</v>
      </c>
      <c r="F21" s="6">
        <f t="shared" si="0"/>
        <v>43.784098188031692</v>
      </c>
      <c r="G21" s="6">
        <f t="shared" si="1"/>
        <v>4334.6257206151377</v>
      </c>
      <c r="H21" s="2">
        <f t="shared" si="2"/>
        <v>3.3425842459099875</v>
      </c>
      <c r="I21" s="2">
        <f t="shared" si="3"/>
        <v>2.3886686865420486</v>
      </c>
      <c r="J21">
        <f t="shared" si="4"/>
        <v>807.25196193526483</v>
      </c>
      <c r="K21">
        <f t="shared" si="5"/>
        <v>2536859.8027869458</v>
      </c>
    </row>
    <row r="22" spans="1:11" x14ac:dyDescent="0.45">
      <c r="A22">
        <v>13</v>
      </c>
      <c r="B22">
        <v>56</v>
      </c>
      <c r="C22" s="4">
        <f t="shared" si="6"/>
        <v>3.3425842459099875</v>
      </c>
      <c r="D22" s="4">
        <f t="shared" si="6"/>
        <v>2.3886686865420486</v>
      </c>
      <c r="E22" s="4">
        <f t="shared" si="7"/>
        <v>34.395277170956618</v>
      </c>
      <c r="F22" s="6">
        <f t="shared" si="0"/>
        <v>-43.209445658086764</v>
      </c>
      <c r="G22" s="6">
        <f t="shared" si="1"/>
        <v>-561.72279355512796</v>
      </c>
      <c r="H22" s="2">
        <f t="shared" si="2"/>
        <v>3.3730003885198707</v>
      </c>
      <c r="I22" s="2">
        <f t="shared" si="3"/>
        <v>2.395722172550101</v>
      </c>
      <c r="J22">
        <f t="shared" si="4"/>
        <v>913.23238514965362</v>
      </c>
      <c r="K22">
        <f t="shared" si="5"/>
        <v>2314727.0721881888</v>
      </c>
    </row>
    <row r="23" spans="1:11" x14ac:dyDescent="0.45">
      <c r="A23">
        <v>21</v>
      </c>
      <c r="B23">
        <v>72</v>
      </c>
      <c r="C23" s="4">
        <f t="shared" si="6"/>
        <v>3.3730003885198707</v>
      </c>
      <c r="D23" s="4">
        <f t="shared" si="6"/>
        <v>2.395722172550101</v>
      </c>
      <c r="E23" s="4">
        <f t="shared" si="7"/>
        <v>53.683166012071993</v>
      </c>
      <c r="F23" s="6">
        <f t="shared" si="0"/>
        <v>-36.633667975856014</v>
      </c>
      <c r="G23" s="6">
        <f t="shared" si="1"/>
        <v>-769.30702749297632</v>
      </c>
      <c r="H23" s="2">
        <f t="shared" si="2"/>
        <v>3.3972452523098222</v>
      </c>
      <c r="I23" s="2">
        <f t="shared" si="3"/>
        <v>2.4058351677200447</v>
      </c>
      <c r="J23">
        <f t="shared" si="4"/>
        <v>956.11170957121408</v>
      </c>
      <c r="K23">
        <f t="shared" si="5"/>
        <v>2142437.6952243778</v>
      </c>
    </row>
    <row r="24" spans="1:11" x14ac:dyDescent="0.45">
      <c r="A24">
        <v>28</v>
      </c>
      <c r="B24">
        <v>86</v>
      </c>
      <c r="C24" s="4">
        <f t="shared" si="6"/>
        <v>3.3972452523098222</v>
      </c>
      <c r="D24" s="4">
        <f t="shared" si="6"/>
        <v>2.4058351677200447</v>
      </c>
      <c r="E24" s="4">
        <f t="shared" si="7"/>
        <v>70.760629948471063</v>
      </c>
      <c r="F24" s="6">
        <f t="shared" si="0"/>
        <v>-30.478740103057874</v>
      </c>
      <c r="G24" s="6">
        <f t="shared" si="1"/>
        <v>-853.40472288562046</v>
      </c>
      <c r="H24" s="2">
        <f t="shared" si="2"/>
        <v>3.416959158598619</v>
      </c>
      <c r="I24" s="2">
        <f t="shared" si="3"/>
        <v>2.4174960372766576</v>
      </c>
      <c r="J24">
        <f t="shared" si="4"/>
        <v>953.3958984410674</v>
      </c>
      <c r="K24">
        <f t="shared" si="5"/>
        <v>2001023.8878062882</v>
      </c>
    </row>
    <row r="25" spans="1:11" x14ac:dyDescent="0.45">
      <c r="A25">
        <v>20</v>
      </c>
      <c r="B25">
        <v>70</v>
      </c>
      <c r="C25" s="4">
        <f t="shared" si="6"/>
        <v>3.416959158598619</v>
      </c>
      <c r="D25" s="4">
        <f t="shared" si="6"/>
        <v>2.4174960372766576</v>
      </c>
      <c r="E25" s="4">
        <f t="shared" si="7"/>
        <v>51.76687990413177</v>
      </c>
      <c r="F25" s="6">
        <f t="shared" si="0"/>
        <v>-36.46624019173646</v>
      </c>
      <c r="G25" s="6">
        <f t="shared" si="1"/>
        <v>-729.32480383472921</v>
      </c>
      <c r="H25" s="2">
        <f t="shared" si="2"/>
        <v>3.4405794006752712</v>
      </c>
      <c r="I25" s="2">
        <f t="shared" si="3"/>
        <v>2.4278076084309763</v>
      </c>
      <c r="J25">
        <f t="shared" si="4"/>
        <v>991.03497596910222</v>
      </c>
      <c r="K25">
        <f t="shared" si="5"/>
        <v>1854112.965974516</v>
      </c>
    </row>
    <row r="26" spans="1:11" x14ac:dyDescent="0.45">
      <c r="A26">
        <v>8</v>
      </c>
      <c r="B26">
        <v>46</v>
      </c>
      <c r="C26" s="4">
        <f t="shared" si="6"/>
        <v>3.4405794006752712</v>
      </c>
      <c r="D26" s="4">
        <f t="shared" si="6"/>
        <v>2.4278076084309763</v>
      </c>
      <c r="E26" s="4">
        <f t="shared" si="7"/>
        <v>22.863040268123083</v>
      </c>
      <c r="F26" s="6">
        <f t="shared" si="0"/>
        <v>-46.273919463753835</v>
      </c>
      <c r="G26" s="6">
        <f t="shared" si="1"/>
        <v>-370.19135571003068</v>
      </c>
      <c r="H26" s="2">
        <f t="shared" si="2"/>
        <v>3.4699776718124431</v>
      </c>
      <c r="I26" s="2">
        <f t="shared" si="3"/>
        <v>2.4332449695023581</v>
      </c>
      <c r="J26">
        <f t="shared" si="4"/>
        <v>1106.0590406259896</v>
      </c>
      <c r="K26">
        <f t="shared" si="5"/>
        <v>1682405.8333613074</v>
      </c>
    </row>
    <row r="27" spans="1:11" x14ac:dyDescent="0.45">
      <c r="A27">
        <v>64</v>
      </c>
      <c r="B27">
        <v>158</v>
      </c>
      <c r="C27" s="4">
        <f t="shared" si="6"/>
        <v>3.4699776718124431</v>
      </c>
      <c r="D27" s="4">
        <f t="shared" si="6"/>
        <v>2.4332449695023581</v>
      </c>
      <c r="E27" s="4">
        <f t="shared" si="7"/>
        <v>159.19765571996336</v>
      </c>
      <c r="F27" s="6">
        <f t="shared" si="0"/>
        <v>2.3953114399267292</v>
      </c>
      <c r="G27" s="6">
        <f t="shared" si="1"/>
        <v>153.29993215531067</v>
      </c>
      <c r="H27" s="2">
        <f t="shared" si="2"/>
        <v>3.468537206417766</v>
      </c>
      <c r="I27" s="2">
        <f t="shared" si="3"/>
        <v>2.4308811921050264</v>
      </c>
      <c r="J27">
        <f t="shared" si="4"/>
        <v>996.02688825281507</v>
      </c>
      <c r="K27">
        <f t="shared" si="5"/>
        <v>1516515.336945059</v>
      </c>
    </row>
    <row r="28" spans="1:11" x14ac:dyDescent="0.45">
      <c r="A28">
        <v>99</v>
      </c>
      <c r="B28">
        <v>228</v>
      </c>
      <c r="C28" s="4">
        <f t="shared" si="6"/>
        <v>3.468537206417766</v>
      </c>
      <c r="D28" s="4">
        <f t="shared" si="6"/>
        <v>2.4308811921050264</v>
      </c>
      <c r="E28" s="4">
        <f t="shared" si="7"/>
        <v>244.12577522481538</v>
      </c>
      <c r="F28" s="6">
        <f t="shared" si="0"/>
        <v>32.25155044963077</v>
      </c>
      <c r="G28" s="6">
        <f t="shared" si="1"/>
        <v>3192.9034945134463</v>
      </c>
      <c r="H28" s="2">
        <f t="shared" si="2"/>
        <v>3.4480988926577485</v>
      </c>
      <c r="I28" s="2">
        <f t="shared" si="3"/>
        <v>2.3790259836490959</v>
      </c>
      <c r="J28">
        <f t="shared" si="4"/>
        <v>1000.4404500680414</v>
      </c>
      <c r="K28">
        <f t="shared" si="5"/>
        <v>2384327.0757781705</v>
      </c>
    </row>
    <row r="29" spans="1:11" x14ac:dyDescent="0.45">
      <c r="A29">
        <v>70</v>
      </c>
      <c r="B29">
        <v>170</v>
      </c>
      <c r="C29" s="4">
        <f t="shared" si="6"/>
        <v>3.4480988926577485</v>
      </c>
      <c r="D29" s="4">
        <f t="shared" si="6"/>
        <v>2.3790259836490959</v>
      </c>
      <c r="E29" s="4">
        <f t="shared" si="7"/>
        <v>169.97991774809446</v>
      </c>
      <c r="F29" s="6">
        <f t="shared" si="0"/>
        <v>-4.0164503811070063E-2</v>
      </c>
      <c r="G29" s="6">
        <f t="shared" si="1"/>
        <v>-2.8115152667749044</v>
      </c>
      <c r="H29" s="2">
        <f t="shared" si="2"/>
        <v>3.4481242893280082</v>
      </c>
      <c r="I29" s="2">
        <f t="shared" si="3"/>
        <v>2.3790623992538351</v>
      </c>
      <c r="J29">
        <f t="shared" si="4"/>
        <v>900.39656637997393</v>
      </c>
      <c r="K29">
        <f t="shared" si="5"/>
        <v>2145895.1586621627</v>
      </c>
    </row>
    <row r="30" spans="1:11" x14ac:dyDescent="0.45">
      <c r="A30">
        <v>27</v>
      </c>
      <c r="B30">
        <v>84</v>
      </c>
      <c r="C30" s="4">
        <f t="shared" si="6"/>
        <v>3.4481242893280082</v>
      </c>
      <c r="D30" s="4">
        <f t="shared" si="6"/>
        <v>2.3790623992538351</v>
      </c>
      <c r="E30" s="4">
        <f t="shared" si="7"/>
        <v>67.682809069181559</v>
      </c>
      <c r="F30" s="6">
        <f t="shared" si="0"/>
        <v>-32.634381861636882</v>
      </c>
      <c r="G30" s="6">
        <f t="shared" si="1"/>
        <v>-881.12831026419576</v>
      </c>
      <c r="H30" s="2">
        <f t="shared" si="2"/>
        <v>3.4698757522641444</v>
      </c>
      <c r="I30" s="2">
        <f t="shared" si="3"/>
        <v>2.3910923791298044</v>
      </c>
      <c r="J30">
        <f t="shared" si="4"/>
        <v>916.85719769108994</v>
      </c>
      <c r="K30">
        <f t="shared" si="5"/>
        <v>2008944.3527108501</v>
      </c>
    </row>
    <row r="31" spans="1:11" x14ac:dyDescent="0.45">
      <c r="A31">
        <v>17</v>
      </c>
      <c r="B31">
        <v>64</v>
      </c>
      <c r="C31" s="4">
        <f t="shared" si="6"/>
        <v>3.4698757522641444</v>
      </c>
      <c r="D31" s="4">
        <f t="shared" si="6"/>
        <v>2.3910923791298044</v>
      </c>
      <c r="E31" s="4">
        <f t="shared" si="7"/>
        <v>44.118446197470817</v>
      </c>
      <c r="F31" s="6">
        <f t="shared" si="0"/>
        <v>-39.763107605058366</v>
      </c>
      <c r="G31" s="6">
        <f t="shared" si="1"/>
        <v>-675.97282928599225</v>
      </c>
      <c r="H31" s="2">
        <f t="shared" si="2"/>
        <v>3.4961396672991727</v>
      </c>
      <c r="I31" s="2">
        <f t="shared" si="3"/>
        <v>2.4006307736615202</v>
      </c>
      <c r="J31">
        <f t="shared" si="4"/>
        <v>983.28195056312597</v>
      </c>
      <c r="K31">
        <f t="shared" si="5"/>
        <v>1853743.8440330559</v>
      </c>
    </row>
    <row r="32" spans="1:11" x14ac:dyDescent="0.45">
      <c r="A32">
        <v>8</v>
      </c>
      <c r="B32">
        <v>46</v>
      </c>
      <c r="C32" s="4">
        <f t="shared" si="6"/>
        <v>3.4961396672991727</v>
      </c>
      <c r="D32" s="4">
        <f t="shared" si="6"/>
        <v>2.4006307736615202</v>
      </c>
      <c r="E32" s="4">
        <f t="shared" si="7"/>
        <v>22.701185856591334</v>
      </c>
      <c r="F32" s="6">
        <f t="shared" si="0"/>
        <v>-46.597628286817333</v>
      </c>
      <c r="G32" s="6">
        <f t="shared" si="1"/>
        <v>-372.78102629453866</v>
      </c>
      <c r="H32" s="2">
        <f t="shared" si="2"/>
        <v>3.5258600758209218</v>
      </c>
      <c r="I32" s="2">
        <f t="shared" si="3"/>
        <v>2.4061067168576575</v>
      </c>
      <c r="J32">
        <f t="shared" si="4"/>
        <v>1102.0876517024533</v>
      </c>
      <c r="K32">
        <f t="shared" si="5"/>
        <v>1682266.0289862712</v>
      </c>
    </row>
    <row r="33" spans="1:11" x14ac:dyDescent="0.45">
      <c r="A33" s="6"/>
      <c r="B33" s="6"/>
      <c r="H33" s="2"/>
      <c r="J33" s="6">
        <v>1134.4241521916742</v>
      </c>
      <c r="K33">
        <v>1679911.3688917186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14288</xdr:colOff>
                    <xdr:row>0</xdr:row>
                    <xdr:rowOff>14288</xdr:rowOff>
                  </from>
                  <to>
                    <xdr:col>0</xdr:col>
                    <xdr:colOff>642938</xdr:colOff>
                    <xdr:row>0</xdr:row>
                    <xdr:rowOff>176213</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14288</xdr:colOff>
                    <xdr:row>1</xdr:row>
                    <xdr:rowOff>14288</xdr:rowOff>
                  </from>
                  <to>
                    <xdr:col>0</xdr:col>
                    <xdr:colOff>642938</xdr:colOff>
                    <xdr:row>1</xdr:row>
                    <xdr:rowOff>176213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dam"/>
  <dimension ref="A1:O33"/>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defaultRowHeight="14.25" x14ac:dyDescent="0.45"/>
  <cols>
    <col min="3" max="3" width="8.796875" style="4" customWidth="1"/>
    <col min="4" max="4" width="10.796875" style="4" bestFit="1" customWidth="1"/>
    <col min="5" max="5" width="9.19921875" style="4" bestFit="1" customWidth="1"/>
    <col min="6" max="6" width="10.796875" style="6" bestFit="1" customWidth="1"/>
    <col min="7" max="7" width="10.19921875" style="6" bestFit="1" customWidth="1"/>
    <col min="8" max="8" width="8.33203125" bestFit="1" customWidth="1"/>
    <col min="9" max="9" width="5.796875" bestFit="1" customWidth="1"/>
    <col min="10" max="11" width="6.53125" customWidth="1"/>
    <col min="12" max="12" width="8.33203125" customWidth="1"/>
    <col min="13" max="13" width="13.19921875" customWidth="1"/>
  </cols>
  <sheetData>
    <row r="1" spans="1:15" x14ac:dyDescent="0.45">
      <c r="B1" t="s">
        <v>21</v>
      </c>
      <c r="C1" s="4">
        <v>29.713174380227404</v>
      </c>
      <c r="D1" s="4" t="s">
        <v>14</v>
      </c>
      <c r="I1" t="s">
        <v>24</v>
      </c>
      <c r="J1">
        <v>0.9</v>
      </c>
      <c r="K1">
        <f>1-J1</f>
        <v>9.9999999999999978E-2</v>
      </c>
      <c r="L1">
        <v>0.9</v>
      </c>
      <c r="M1">
        <f>1-L1</f>
        <v>9.9999999999999978E-2</v>
      </c>
    </row>
    <row r="2" spans="1:15" x14ac:dyDescent="0.45">
      <c r="B2" t="s">
        <v>22</v>
      </c>
      <c r="C2" s="4">
        <v>1.9455616332946517</v>
      </c>
      <c r="D2">
        <v>0.1</v>
      </c>
      <c r="F2" s="8"/>
      <c r="G2" s="8"/>
    </row>
    <row r="3" spans="1:15" s="1" customFormat="1" x14ac:dyDescent="0.45">
      <c r="A3" s="1" t="s">
        <v>15</v>
      </c>
      <c r="B3" s="1" t="s">
        <v>16</v>
      </c>
      <c r="C3" s="5" t="s">
        <v>21</v>
      </c>
      <c r="D3" s="5" t="s">
        <v>22</v>
      </c>
      <c r="E3" s="5" t="s">
        <v>18</v>
      </c>
      <c r="F3" s="7" t="s">
        <v>6</v>
      </c>
      <c r="G3" s="7" t="s">
        <v>9</v>
      </c>
      <c r="H3" s="1" t="s">
        <v>13</v>
      </c>
      <c r="I3" s="1" t="s">
        <v>12</v>
      </c>
      <c r="J3">
        <f>J33</f>
        <v>1.8871073544462662</v>
      </c>
      <c r="K3">
        <f>K33</f>
        <v>167.3681217326772</v>
      </c>
      <c r="L3">
        <f>L33</f>
        <v>40.892736082118006</v>
      </c>
      <c r="M3">
        <f>M33</f>
        <v>275756.32497886667</v>
      </c>
      <c r="N3" s="3"/>
      <c r="O3" s="3"/>
    </row>
    <row r="4" spans="1:15" x14ac:dyDescent="0.45">
      <c r="A4">
        <v>14</v>
      </c>
      <c r="B4">
        <v>58</v>
      </c>
      <c r="C4" s="4">
        <f>C1</f>
        <v>29.713174380227404</v>
      </c>
      <c r="D4" s="4">
        <f>C2</f>
        <v>1.9455616332946517</v>
      </c>
      <c r="E4" s="4">
        <f>C4+D4*A4</f>
        <v>56.951037246352527</v>
      </c>
      <c r="F4" s="6">
        <f t="shared" ref="F4:F32" si="0">2*(D4*A4+C4-B4)</f>
        <v>-2.0979255072949456</v>
      </c>
      <c r="G4" s="6">
        <f t="shared" ref="G4:G32" si="1">F4*A4</f>
        <v>-29.370957102129239</v>
      </c>
      <c r="H4" s="2">
        <f>C4-J4*$D$2/SQRT(L4)</f>
        <v>29.688782042548546</v>
      </c>
      <c r="I4" s="2">
        <f>D4-K4*$D$2/SQRT(M4)</f>
        <v>1.9159198710004586</v>
      </c>
      <c r="J4">
        <f>J3*$J$1+$K$1*F4</f>
        <v>1.4886040682721451</v>
      </c>
      <c r="K4">
        <f>K3*$J$1+$K$1*G4</f>
        <v>147.69421384919656</v>
      </c>
      <c r="L4">
        <f t="shared" ref="L4:L32" si="2">L3*$L$1+$M$1*F4^2</f>
        <v>37.243591617322082</v>
      </c>
      <c r="M4">
        <f t="shared" ref="M4:M32" si="3">M3*$L$1+$M$1*G4^2</f>
        <v>248266.95779308953</v>
      </c>
    </row>
    <row r="5" spans="1:15" x14ac:dyDescent="0.45">
      <c r="A5">
        <v>86</v>
      </c>
      <c r="B5">
        <v>202</v>
      </c>
      <c r="C5" s="4">
        <f>H4</f>
        <v>29.688782042548546</v>
      </c>
      <c r="D5" s="4">
        <f>I4</f>
        <v>1.9159198710004586</v>
      </c>
      <c r="E5" s="4">
        <f>C5+D5*A5</f>
        <v>194.45789094858799</v>
      </c>
      <c r="F5" s="6">
        <f t="shared" si="0"/>
        <v>-15.084218102824025</v>
      </c>
      <c r="G5" s="6">
        <f t="shared" si="1"/>
        <v>-1297.2427568428661</v>
      </c>
      <c r="H5" s="2">
        <f t="shared" ref="H5:H32" si="4">C5-J5*$D$2/SQRT(L5)</f>
        <v>29.691030632940858</v>
      </c>
      <c r="I5" s="2">
        <f t="shared" ref="I5:I32" si="5">D5-K5*$D$2/SQRT(M5)</f>
        <v>1.915408507246906</v>
      </c>
      <c r="J5">
        <f t="shared" ref="J5:J32" si="6">J4*$J$1+$K$1*F5</f>
        <v>-0.16867814883747156</v>
      </c>
      <c r="K5">
        <f t="shared" ref="K5:K32" si="7">K4*$J$1+$K$1*G5</f>
        <v>3.2005167799903234</v>
      </c>
      <c r="L5">
        <f t="shared" si="2"/>
        <v>56.272596032946268</v>
      </c>
      <c r="M5">
        <f t="shared" si="3"/>
        <v>391724.13903190847</v>
      </c>
    </row>
    <row r="6" spans="1:15" x14ac:dyDescent="0.45">
      <c r="A6">
        <v>28</v>
      </c>
      <c r="B6">
        <v>86</v>
      </c>
      <c r="C6" s="4">
        <f>H5</f>
        <v>29.691030632940858</v>
      </c>
      <c r="D6" s="4">
        <f>I5</f>
        <v>1.915408507246906</v>
      </c>
      <c r="E6" s="4">
        <f>C6+D6*A6</f>
        <v>83.322468835854238</v>
      </c>
      <c r="F6" s="6">
        <f t="shared" si="0"/>
        <v>-5.355062328291524</v>
      </c>
      <c r="G6" s="6">
        <f t="shared" si="1"/>
        <v>-149.94174519216267</v>
      </c>
      <c r="H6" s="2">
        <f t="shared" si="4"/>
        <v>29.700426289632066</v>
      </c>
      <c r="I6" s="2">
        <f t="shared" si="5"/>
        <v>1.9174422000869273</v>
      </c>
      <c r="J6">
        <f t="shared" si="6"/>
        <v>-0.68731656678287678</v>
      </c>
      <c r="K6">
        <f t="shared" si="7"/>
        <v>-12.113709417224973</v>
      </c>
      <c r="L6">
        <f t="shared" si="2"/>
        <v>53.513005683640344</v>
      </c>
      <c r="M6">
        <f t="shared" si="3"/>
        <v>354799.97782384482</v>
      </c>
    </row>
    <row r="7" spans="1:15" x14ac:dyDescent="0.45">
      <c r="A7">
        <v>51</v>
      </c>
      <c r="B7">
        <v>132</v>
      </c>
      <c r="C7" s="4">
        <f t="shared" ref="C7:D32" si="8">H6</f>
        <v>29.700426289632066</v>
      </c>
      <c r="D7" s="4">
        <f t="shared" si="8"/>
        <v>1.9174422000869273</v>
      </c>
      <c r="E7" s="4">
        <f t="shared" ref="E7:E32" si="9">C7+D7*A7</f>
        <v>127.48997849406535</v>
      </c>
      <c r="F7" s="6">
        <f t="shared" si="0"/>
        <v>-9.0200430118692907</v>
      </c>
      <c r="G7" s="6">
        <f t="shared" si="1"/>
        <v>-460.02219360533383</v>
      </c>
      <c r="H7" s="2">
        <f t="shared" si="4"/>
        <v>29.72069219942885</v>
      </c>
      <c r="I7" s="2">
        <f t="shared" si="5"/>
        <v>1.9271943408314103</v>
      </c>
      <c r="J7">
        <f t="shared" si="6"/>
        <v>-1.520589211291518</v>
      </c>
      <c r="K7">
        <f t="shared" si="7"/>
        <v>-56.904557836035849</v>
      </c>
      <c r="L7">
        <f t="shared" si="2"/>
        <v>56.297822708873511</v>
      </c>
      <c r="M7">
        <f t="shared" si="3"/>
        <v>340482.0219024067</v>
      </c>
    </row>
    <row r="8" spans="1:15" x14ac:dyDescent="0.45">
      <c r="A8">
        <v>28</v>
      </c>
      <c r="B8">
        <v>86</v>
      </c>
      <c r="C8" s="4">
        <f t="shared" si="8"/>
        <v>29.72069219942885</v>
      </c>
      <c r="D8" s="4">
        <f t="shared" si="8"/>
        <v>1.9271943408314103</v>
      </c>
      <c r="E8" s="4">
        <f t="shared" si="9"/>
        <v>83.682133742708345</v>
      </c>
      <c r="F8" s="6">
        <f t="shared" si="0"/>
        <v>-4.6357325145833101</v>
      </c>
      <c r="G8" s="6">
        <f t="shared" si="1"/>
        <v>-129.80051040833268</v>
      </c>
      <c r="H8" s="2">
        <f t="shared" si="4"/>
        <v>29.745901626553049</v>
      </c>
      <c r="I8" s="2">
        <f t="shared" si="5"/>
        <v>1.9387590972423769</v>
      </c>
      <c r="J8">
        <f t="shared" si="6"/>
        <v>-1.832103541620697</v>
      </c>
      <c r="K8">
        <f t="shared" si="7"/>
        <v>-64.194153093265527</v>
      </c>
      <c r="L8">
        <f t="shared" si="2"/>
        <v>52.817042032662656</v>
      </c>
      <c r="M8">
        <f t="shared" si="3"/>
        <v>308118.63696239243</v>
      </c>
    </row>
    <row r="9" spans="1:15" x14ac:dyDescent="0.45">
      <c r="A9">
        <v>29</v>
      </c>
      <c r="B9">
        <v>88</v>
      </c>
      <c r="C9" s="4">
        <f t="shared" si="8"/>
        <v>29.745901626553049</v>
      </c>
      <c r="D9" s="4">
        <f t="shared" si="8"/>
        <v>1.9387590972423769</v>
      </c>
      <c r="E9" s="4">
        <f t="shared" si="9"/>
        <v>85.969915446581979</v>
      </c>
      <c r="F9" s="6">
        <f t="shared" si="0"/>
        <v>-4.0601691068360424</v>
      </c>
      <c r="G9" s="6">
        <f t="shared" si="1"/>
        <v>-117.74490409824523</v>
      </c>
      <c r="H9" s="2">
        <f t="shared" si="4"/>
        <v>29.775202571824348</v>
      </c>
      <c r="I9" s="2">
        <f t="shared" si="5"/>
        <v>1.9519334461273059</v>
      </c>
      <c r="J9">
        <f t="shared" si="6"/>
        <v>-2.0549100981422312</v>
      </c>
      <c r="K9">
        <f t="shared" si="7"/>
        <v>-69.549228193763497</v>
      </c>
      <c r="L9">
        <f t="shared" si="2"/>
        <v>49.183835147006967</v>
      </c>
      <c r="M9">
        <f t="shared" si="3"/>
        <v>278693.15951026365</v>
      </c>
    </row>
    <row r="10" spans="1:15" x14ac:dyDescent="0.45">
      <c r="A10">
        <v>72</v>
      </c>
      <c r="B10">
        <v>174</v>
      </c>
      <c r="C10" s="4">
        <f t="shared" si="8"/>
        <v>29.775202571824348</v>
      </c>
      <c r="D10" s="4">
        <f t="shared" si="8"/>
        <v>1.9519334461273059</v>
      </c>
      <c r="E10" s="4">
        <f t="shared" si="9"/>
        <v>170.31441069299035</v>
      </c>
      <c r="F10" s="6">
        <f t="shared" si="0"/>
        <v>-7.3711786140192999</v>
      </c>
      <c r="G10" s="6">
        <f t="shared" si="1"/>
        <v>-530.72486020938959</v>
      </c>
      <c r="H10" s="2">
        <f t="shared" si="4"/>
        <v>29.811892375692839</v>
      </c>
      <c r="I10" s="2">
        <f t="shared" si="5"/>
        <v>1.9738319175445906</v>
      </c>
      <c r="J10">
        <f t="shared" si="6"/>
        <v>-2.586536949729938</v>
      </c>
      <c r="K10">
        <f t="shared" si="7"/>
        <v>-115.6667913953261</v>
      </c>
      <c r="L10">
        <f t="shared" si="2"/>
        <v>49.698879048283821</v>
      </c>
      <c r="M10">
        <f t="shared" si="3"/>
        <v>278990.73128366488</v>
      </c>
    </row>
    <row r="11" spans="1:15" x14ac:dyDescent="0.45">
      <c r="A11">
        <v>62</v>
      </c>
      <c r="B11">
        <v>154</v>
      </c>
      <c r="C11" s="4">
        <f t="shared" si="8"/>
        <v>29.811892375692839</v>
      </c>
      <c r="D11" s="4">
        <f t="shared" si="8"/>
        <v>1.9738319175445906</v>
      </c>
      <c r="E11" s="4">
        <f t="shared" si="9"/>
        <v>152.18947126345745</v>
      </c>
      <c r="F11" s="6">
        <f t="shared" si="0"/>
        <v>-3.6210574730851022</v>
      </c>
      <c r="G11" s="6">
        <f t="shared" si="1"/>
        <v>-224.50556333127633</v>
      </c>
      <c r="H11" s="2">
        <f t="shared" si="4"/>
        <v>29.851536781993939</v>
      </c>
      <c r="I11" s="2">
        <f t="shared" si="5"/>
        <v>1.9988372469724678</v>
      </c>
      <c r="J11">
        <f t="shared" si="6"/>
        <v>-2.6899890020654547</v>
      </c>
      <c r="K11">
        <f t="shared" si="7"/>
        <v>-126.55066858892113</v>
      </c>
      <c r="L11">
        <f t="shared" si="2"/>
        <v>46.040196865793988</v>
      </c>
      <c r="M11">
        <f t="shared" si="3"/>
        <v>256131.93295196776</v>
      </c>
    </row>
    <row r="12" spans="1:15" x14ac:dyDescent="0.45">
      <c r="A12">
        <v>84</v>
      </c>
      <c r="B12">
        <v>198</v>
      </c>
      <c r="C12" s="4">
        <f t="shared" si="8"/>
        <v>29.851536781993939</v>
      </c>
      <c r="D12" s="4">
        <f t="shared" si="8"/>
        <v>1.9988372469724678</v>
      </c>
      <c r="E12" s="4">
        <f t="shared" si="9"/>
        <v>197.75386552768123</v>
      </c>
      <c r="F12" s="6">
        <f t="shared" si="0"/>
        <v>-0.49226894463754434</v>
      </c>
      <c r="G12" s="6">
        <f t="shared" si="1"/>
        <v>-41.350591349553724</v>
      </c>
      <c r="H12" s="2">
        <f t="shared" si="4"/>
        <v>29.88990028967385</v>
      </c>
      <c r="I12" s="2">
        <f t="shared" si="5"/>
        <v>2.0234115218291713</v>
      </c>
      <c r="J12">
        <f t="shared" si="6"/>
        <v>-2.4702169963226637</v>
      </c>
      <c r="K12">
        <f t="shared" si="7"/>
        <v>-118.03066086498438</v>
      </c>
      <c r="L12">
        <f t="shared" si="2"/>
        <v>41.460410050600046</v>
      </c>
      <c r="M12">
        <f t="shared" si="3"/>
        <v>230689.72679726675</v>
      </c>
    </row>
    <row r="13" spans="1:15" x14ac:dyDescent="0.45">
      <c r="A13">
        <v>15</v>
      </c>
      <c r="B13">
        <v>60</v>
      </c>
      <c r="C13" s="4">
        <f t="shared" si="8"/>
        <v>29.88990028967385</v>
      </c>
      <c r="D13" s="4">
        <f t="shared" si="8"/>
        <v>2.0234115218291713</v>
      </c>
      <c r="E13" s="4">
        <f t="shared" si="9"/>
        <v>60.241073117111419</v>
      </c>
      <c r="F13" s="6">
        <f t="shared" si="0"/>
        <v>0.48214623422283864</v>
      </c>
      <c r="G13" s="6">
        <f t="shared" si="1"/>
        <v>7.2321935133425796</v>
      </c>
      <c r="H13" s="2">
        <f t="shared" si="4"/>
        <v>29.925494725391165</v>
      </c>
      <c r="I13" s="2">
        <f t="shared" si="5"/>
        <v>2.0465657131977362</v>
      </c>
      <c r="J13">
        <f t="shared" si="6"/>
        <v>-2.1749806732681134</v>
      </c>
      <c r="K13">
        <f t="shared" si="7"/>
        <v>-105.5043754271517</v>
      </c>
      <c r="L13">
        <f t="shared" si="2"/>
        <v>37.337615544657567</v>
      </c>
      <c r="M13">
        <f t="shared" si="3"/>
        <v>207625.98457984152</v>
      </c>
    </row>
    <row r="14" spans="1:15" x14ac:dyDescent="0.45">
      <c r="A14">
        <v>42</v>
      </c>
      <c r="B14">
        <v>114</v>
      </c>
      <c r="C14" s="4">
        <f t="shared" si="8"/>
        <v>29.925494725391165</v>
      </c>
      <c r="D14" s="4">
        <f t="shared" si="8"/>
        <v>2.0465657131977362</v>
      </c>
      <c r="E14" s="4">
        <f t="shared" si="9"/>
        <v>115.88125467969608</v>
      </c>
      <c r="F14" s="6">
        <f t="shared" si="0"/>
        <v>3.762509359392169</v>
      </c>
      <c r="G14" s="6">
        <f t="shared" si="1"/>
        <v>158.0253930944711</v>
      </c>
      <c r="H14" s="2">
        <f t="shared" si="4"/>
        <v>29.952214975768836</v>
      </c>
      <c r="I14" s="2">
        <f t="shared" si="5"/>
        <v>2.0647549214636367</v>
      </c>
      <c r="J14">
        <f t="shared" si="6"/>
        <v>-1.5812316700020854</v>
      </c>
      <c r="K14">
        <f t="shared" si="7"/>
        <v>-79.151398574989429</v>
      </c>
      <c r="L14">
        <f t="shared" si="2"/>
        <v>35.019501658143177</v>
      </c>
      <c r="M14">
        <f t="shared" si="3"/>
        <v>189360.58860812357</v>
      </c>
    </row>
    <row r="15" spans="1:15" x14ac:dyDescent="0.45">
      <c r="A15">
        <v>62</v>
      </c>
      <c r="B15">
        <v>154</v>
      </c>
      <c r="C15" s="4">
        <f t="shared" si="8"/>
        <v>29.952214975768836</v>
      </c>
      <c r="D15" s="4">
        <f>I14</f>
        <v>2.0647549214636367</v>
      </c>
      <c r="E15" s="4">
        <f t="shared" si="9"/>
        <v>157.96702010651433</v>
      </c>
      <c r="F15" s="6">
        <f t="shared" si="0"/>
        <v>7.934040213028652</v>
      </c>
      <c r="G15" s="6">
        <f t="shared" si="1"/>
        <v>491.91049320777643</v>
      </c>
      <c r="H15" s="2">
        <f t="shared" si="4"/>
        <v>29.962455433521288</v>
      </c>
      <c r="I15" s="2">
        <f t="shared" si="5"/>
        <v>2.0697520224410932</v>
      </c>
      <c r="J15">
        <f t="shared" si="6"/>
        <v>-0.62970448169901183</v>
      </c>
      <c r="K15">
        <f t="shared" si="7"/>
        <v>-22.045209396712856</v>
      </c>
      <c r="L15">
        <f t="shared" si="2"/>
        <v>37.812450902524432</v>
      </c>
      <c r="M15">
        <f t="shared" si="3"/>
        <v>194622.12308010299</v>
      </c>
    </row>
    <row r="16" spans="1:15" x14ac:dyDescent="0.45">
      <c r="A16">
        <v>47</v>
      </c>
      <c r="B16">
        <v>124</v>
      </c>
      <c r="C16" s="4">
        <f t="shared" si="8"/>
        <v>29.962455433521288</v>
      </c>
      <c r="D16" s="4">
        <f t="shared" si="8"/>
        <v>2.0697520224410932</v>
      </c>
      <c r="E16" s="4">
        <f t="shared" si="9"/>
        <v>127.24080048825267</v>
      </c>
      <c r="F16" s="6">
        <f t="shared" si="0"/>
        <v>6.4816009765053479</v>
      </c>
      <c r="G16" s="6">
        <f t="shared" si="1"/>
        <v>304.63524589575138</v>
      </c>
      <c r="H16" s="2">
        <f t="shared" si="4"/>
        <v>29.96113854773153</v>
      </c>
      <c r="I16" s="2">
        <f t="shared" si="5"/>
        <v>2.0672785178522708</v>
      </c>
      <c r="J16">
        <f t="shared" si="6"/>
        <v>8.1426064121423947E-2</v>
      </c>
      <c r="K16">
        <f t="shared" si="7"/>
        <v>10.622836132533557</v>
      </c>
      <c r="L16">
        <f t="shared" si="2"/>
        <v>38.232320934135501</v>
      </c>
      <c r="M16">
        <f t="shared" si="3"/>
        <v>184440.17407628917</v>
      </c>
    </row>
    <row r="17" spans="1:13" x14ac:dyDescent="0.45">
      <c r="A17">
        <v>35</v>
      </c>
      <c r="B17">
        <v>100</v>
      </c>
      <c r="C17" s="4">
        <f t="shared" si="8"/>
        <v>29.96113854773153</v>
      </c>
      <c r="D17" s="4">
        <f t="shared" si="8"/>
        <v>2.0672785178522708</v>
      </c>
      <c r="E17" s="4">
        <f t="shared" si="9"/>
        <v>102.31588667256102</v>
      </c>
      <c r="F17" s="6">
        <f t="shared" si="0"/>
        <v>4.631773345122042</v>
      </c>
      <c r="G17" s="6">
        <f t="shared" si="1"/>
        <v>162.11206707927147</v>
      </c>
      <c r="H17" s="2">
        <f t="shared" si="4"/>
        <v>29.952265597811337</v>
      </c>
      <c r="I17" s="2">
        <f t="shared" si="5"/>
        <v>2.0610025006043564</v>
      </c>
      <c r="J17">
        <f t="shared" si="6"/>
        <v>0.53646079222148568</v>
      </c>
      <c r="K17">
        <f t="shared" si="7"/>
        <v>25.771759227207347</v>
      </c>
      <c r="L17">
        <f t="shared" si="2"/>
        <v>36.554421272780253</v>
      </c>
      <c r="M17">
        <f t="shared" si="3"/>
        <v>168624.18889793169</v>
      </c>
    </row>
    <row r="18" spans="1:13" x14ac:dyDescent="0.45">
      <c r="A18">
        <v>9</v>
      </c>
      <c r="B18">
        <v>48</v>
      </c>
      <c r="C18" s="4">
        <f t="shared" si="8"/>
        <v>29.952265597811337</v>
      </c>
      <c r="D18" s="4">
        <f t="shared" si="8"/>
        <v>2.0610025006043564</v>
      </c>
      <c r="E18" s="4">
        <f t="shared" si="9"/>
        <v>48.501288103250545</v>
      </c>
      <c r="F18" s="6">
        <f t="shared" si="0"/>
        <v>1.0025762065010895</v>
      </c>
      <c r="G18" s="6">
        <f t="shared" si="1"/>
        <v>9.0231858585098053</v>
      </c>
      <c r="H18" s="2">
        <f t="shared" si="4"/>
        <v>29.942115533646003</v>
      </c>
      <c r="I18" s="2">
        <f t="shared" si="5"/>
        <v>2.0548170923640945</v>
      </c>
      <c r="J18">
        <f t="shared" si="6"/>
        <v>0.58307233364944611</v>
      </c>
      <c r="K18">
        <f t="shared" si="7"/>
        <v>24.096901890337595</v>
      </c>
      <c r="L18">
        <f t="shared" si="2"/>
        <v>32.999495050486445</v>
      </c>
      <c r="M18">
        <f t="shared" si="3"/>
        <v>151769.91179644226</v>
      </c>
    </row>
    <row r="19" spans="1:13" x14ac:dyDescent="0.45">
      <c r="A19">
        <v>38</v>
      </c>
      <c r="B19">
        <v>106</v>
      </c>
      <c r="C19" s="4">
        <f t="shared" si="8"/>
        <v>29.942115533646003</v>
      </c>
      <c r="D19" s="4">
        <f t="shared" si="8"/>
        <v>2.0548170923640945</v>
      </c>
      <c r="E19" s="4">
        <f t="shared" si="9"/>
        <v>108.02516504348159</v>
      </c>
      <c r="F19" s="6">
        <f t="shared" si="0"/>
        <v>4.0503300869631857</v>
      </c>
      <c r="G19" s="6">
        <f t="shared" si="1"/>
        <v>153.91254330460106</v>
      </c>
      <c r="H19" s="2">
        <f t="shared" si="4"/>
        <v>29.925506715630615</v>
      </c>
      <c r="I19" s="2">
        <f t="shared" si="5"/>
        <v>2.0448705073275395</v>
      </c>
      <c r="J19">
        <f t="shared" si="6"/>
        <v>0.92979810898082005</v>
      </c>
      <c r="K19">
        <f t="shared" si="7"/>
        <v>37.078466031763938</v>
      </c>
      <c r="L19">
        <f t="shared" si="2"/>
        <v>31.340062926773722</v>
      </c>
      <c r="M19">
        <f t="shared" si="3"/>
        <v>138961.82771544711</v>
      </c>
    </row>
    <row r="20" spans="1:13" x14ac:dyDescent="0.45">
      <c r="A20">
        <v>44</v>
      </c>
      <c r="B20">
        <v>118</v>
      </c>
      <c r="C20" s="4">
        <f t="shared" si="8"/>
        <v>29.925506715630615</v>
      </c>
      <c r="D20" s="4">
        <f t="shared" si="8"/>
        <v>2.0448705073275395</v>
      </c>
      <c r="E20" s="4">
        <f t="shared" si="9"/>
        <v>119.89980903804236</v>
      </c>
      <c r="F20" s="6">
        <f t="shared" si="0"/>
        <v>3.7996180760847267</v>
      </c>
      <c r="G20" s="6">
        <f t="shared" si="1"/>
        <v>167.18319534772797</v>
      </c>
      <c r="H20" s="2">
        <f t="shared" si="4"/>
        <v>29.903160629803704</v>
      </c>
      <c r="I20" s="2">
        <f t="shared" si="5"/>
        <v>2.0308625971188907</v>
      </c>
      <c r="J20">
        <f t="shared" si="6"/>
        <v>1.2167801056912106</v>
      </c>
      <c r="K20">
        <f t="shared" si="7"/>
        <v>50.088938963360334</v>
      </c>
      <c r="L20">
        <f t="shared" si="2"/>
        <v>29.649766386507327</v>
      </c>
      <c r="M20">
        <f t="shared" si="3"/>
        <v>127860.66702457005</v>
      </c>
    </row>
    <row r="21" spans="1:13" x14ac:dyDescent="0.45">
      <c r="A21">
        <v>99</v>
      </c>
      <c r="B21">
        <v>228</v>
      </c>
      <c r="C21" s="4">
        <f t="shared" si="8"/>
        <v>29.903160629803704</v>
      </c>
      <c r="D21" s="4">
        <f t="shared" si="8"/>
        <v>2.0308625971188907</v>
      </c>
      <c r="E21" s="4">
        <f t="shared" si="9"/>
        <v>230.95855774457388</v>
      </c>
      <c r="F21" s="6">
        <f t="shared" si="0"/>
        <v>5.9171154891477613</v>
      </c>
      <c r="G21" s="6">
        <f t="shared" si="1"/>
        <v>585.79443342562831</v>
      </c>
      <c r="H21" s="2">
        <f t="shared" si="4"/>
        <v>29.872458803441681</v>
      </c>
      <c r="I21" s="2">
        <f t="shared" si="5"/>
        <v>2.0040432541271285</v>
      </c>
      <c r="J21">
        <f t="shared" si="6"/>
        <v>1.6868136440368655</v>
      </c>
      <c r="K21">
        <f t="shared" si="7"/>
        <v>103.65948840958711</v>
      </c>
      <c r="L21">
        <f t="shared" si="2"/>
        <v>30.186015319047829</v>
      </c>
      <c r="M21">
        <f t="shared" si="3"/>
        <v>149390.11214535835</v>
      </c>
    </row>
    <row r="22" spans="1:13" x14ac:dyDescent="0.45">
      <c r="A22">
        <v>13</v>
      </c>
      <c r="B22">
        <v>56</v>
      </c>
      <c r="C22" s="4">
        <f t="shared" si="8"/>
        <v>29.872458803441681</v>
      </c>
      <c r="D22" s="4">
        <f t="shared" si="8"/>
        <v>2.0040432541271285</v>
      </c>
      <c r="E22" s="4">
        <f t="shared" si="9"/>
        <v>55.925021107094352</v>
      </c>
      <c r="F22" s="6">
        <f t="shared" si="0"/>
        <v>-0.14995778581129571</v>
      </c>
      <c r="G22" s="6">
        <f t="shared" si="1"/>
        <v>-1.9494512155468442</v>
      </c>
      <c r="H22" s="2">
        <f t="shared" si="4"/>
        <v>29.843621390328138</v>
      </c>
      <c r="I22" s="2">
        <f t="shared" si="5"/>
        <v>1.9786533927845011</v>
      </c>
      <c r="J22">
        <f t="shared" si="6"/>
        <v>1.5031365010520494</v>
      </c>
      <c r="K22">
        <f t="shared" si="7"/>
        <v>93.098594447073722</v>
      </c>
      <c r="L22">
        <f t="shared" si="2"/>
        <v>27.169662520895589</v>
      </c>
      <c r="M22">
        <f t="shared" si="3"/>
        <v>134451.4809668267</v>
      </c>
    </row>
    <row r="23" spans="1:13" x14ac:dyDescent="0.45">
      <c r="A23">
        <v>21</v>
      </c>
      <c r="B23">
        <v>72</v>
      </c>
      <c r="C23" s="4">
        <f t="shared" si="8"/>
        <v>29.843621390328138</v>
      </c>
      <c r="D23" s="4">
        <f t="shared" si="8"/>
        <v>1.9786533927845011</v>
      </c>
      <c r="E23" s="4">
        <f t="shared" si="9"/>
        <v>71.39534263880266</v>
      </c>
      <c r="F23" s="6">
        <f t="shared" si="0"/>
        <v>-1.2093147223946801</v>
      </c>
      <c r="G23" s="6">
        <f t="shared" si="1"/>
        <v>-25.395609170288282</v>
      </c>
      <c r="H23" s="2">
        <f t="shared" si="4"/>
        <v>29.818783528028742</v>
      </c>
      <c r="I23" s="2">
        <f t="shared" si="5"/>
        <v>1.9553027305808168</v>
      </c>
      <c r="J23">
        <f t="shared" si="6"/>
        <v>1.2318913787073766</v>
      </c>
      <c r="K23">
        <f t="shared" si="7"/>
        <v>81.249174085337529</v>
      </c>
      <c r="L23">
        <f t="shared" si="2"/>
        <v>24.59894047858608</v>
      </c>
      <c r="M23">
        <f t="shared" si="3"/>
        <v>121070.82656665704</v>
      </c>
    </row>
    <row r="24" spans="1:13" x14ac:dyDescent="0.45">
      <c r="A24">
        <v>28</v>
      </c>
      <c r="B24">
        <v>86</v>
      </c>
      <c r="C24" s="4">
        <f t="shared" si="8"/>
        <v>29.818783528028742</v>
      </c>
      <c r="D24" s="4">
        <f t="shared" si="8"/>
        <v>1.9553027305808168</v>
      </c>
      <c r="E24" s="4">
        <f t="shared" si="9"/>
        <v>84.56725998429161</v>
      </c>
      <c r="F24" s="6">
        <f t="shared" si="0"/>
        <v>-2.8654800314167801</v>
      </c>
      <c r="G24" s="6">
        <f t="shared" si="1"/>
        <v>-80.233440879669843</v>
      </c>
      <c r="H24" s="2">
        <f t="shared" si="4"/>
        <v>29.801625554408332</v>
      </c>
      <c r="I24" s="2">
        <f t="shared" si="5"/>
        <v>1.9356389521783397</v>
      </c>
      <c r="J24">
        <f t="shared" si="6"/>
        <v>0.82215423769496099</v>
      </c>
      <c r="K24">
        <f t="shared" si="7"/>
        <v>65.100912588836792</v>
      </c>
      <c r="L24">
        <f t="shared" si="2"/>
        <v>22.960144011772304</v>
      </c>
      <c r="M24">
        <f t="shared" si="3"/>
        <v>109607.48441353047</v>
      </c>
    </row>
    <row r="25" spans="1:13" x14ac:dyDescent="0.45">
      <c r="A25">
        <v>20</v>
      </c>
      <c r="B25">
        <v>70</v>
      </c>
      <c r="C25" s="4">
        <f t="shared" si="8"/>
        <v>29.801625554408332</v>
      </c>
      <c r="D25" s="4">
        <f t="shared" si="8"/>
        <v>1.9356389521783397</v>
      </c>
      <c r="E25" s="4">
        <f t="shared" si="9"/>
        <v>68.51440459797513</v>
      </c>
      <c r="F25" s="6">
        <f t="shared" si="0"/>
        <v>-2.9711908040497406</v>
      </c>
      <c r="G25" s="6">
        <f t="shared" si="1"/>
        <v>-59.423816080994811</v>
      </c>
      <c r="H25" s="2">
        <f t="shared" si="4"/>
        <v>29.792085863683205</v>
      </c>
      <c r="I25" s="2">
        <f t="shared" si="5"/>
        <v>1.9189061673691679</v>
      </c>
      <c r="J25">
        <f t="shared" si="6"/>
        <v>0.44281973352049092</v>
      </c>
      <c r="K25">
        <f t="shared" si="7"/>
        <v>52.648439721853634</v>
      </c>
      <c r="L25">
        <f t="shared" si="2"/>
        <v>21.546927090002047</v>
      </c>
      <c r="M25">
        <f t="shared" si="3"/>
        <v>98999.854963940219</v>
      </c>
    </row>
    <row r="26" spans="1:13" x14ac:dyDescent="0.45">
      <c r="A26">
        <v>8</v>
      </c>
      <c r="B26">
        <v>46</v>
      </c>
      <c r="C26" s="4">
        <f t="shared" si="8"/>
        <v>29.792085863683205</v>
      </c>
      <c r="D26" s="4">
        <f t="shared" si="8"/>
        <v>1.9189061673691679</v>
      </c>
      <c r="E26" s="4">
        <f t="shared" si="9"/>
        <v>45.14333520263655</v>
      </c>
      <c r="F26" s="6">
        <f t="shared" si="0"/>
        <v>-1.7133295947269005</v>
      </c>
      <c r="G26" s="6">
        <f t="shared" si="1"/>
        <v>-13.706636757815204</v>
      </c>
      <c r="H26" s="2">
        <f t="shared" si="4"/>
        <v>29.786965024427996</v>
      </c>
      <c r="I26" s="2">
        <f t="shared" si="5"/>
        <v>1.9034928687389305</v>
      </c>
      <c r="J26">
        <f t="shared" si="6"/>
        <v>0.22720480069575183</v>
      </c>
      <c r="K26">
        <f t="shared" si="7"/>
        <v>46.012932073886752</v>
      </c>
      <c r="L26">
        <f t="shared" si="2"/>
        <v>19.685784211018547</v>
      </c>
      <c r="M26">
        <f t="shared" si="3"/>
        <v>89118.65665666727</v>
      </c>
    </row>
    <row r="27" spans="1:13" x14ac:dyDescent="0.45">
      <c r="A27">
        <v>64</v>
      </c>
      <c r="B27">
        <v>158</v>
      </c>
      <c r="C27" s="4">
        <f t="shared" si="8"/>
        <v>29.786965024427996</v>
      </c>
      <c r="D27" s="4">
        <f t="shared" si="8"/>
        <v>1.9034928687389305</v>
      </c>
      <c r="E27" s="4">
        <f t="shared" si="9"/>
        <v>151.61050862371954</v>
      </c>
      <c r="F27" s="6">
        <f t="shared" si="0"/>
        <v>-12.778982752560921</v>
      </c>
      <c r="G27" s="6">
        <f t="shared" si="1"/>
        <v>-817.85489616389896</v>
      </c>
      <c r="H27" s="2">
        <f t="shared" si="4"/>
        <v>29.805361090818778</v>
      </c>
      <c r="I27" s="2">
        <f t="shared" si="5"/>
        <v>1.9140197699551293</v>
      </c>
      <c r="J27">
        <f t="shared" si="6"/>
        <v>-1.0734139546299153</v>
      </c>
      <c r="K27">
        <f t="shared" si="7"/>
        <v>-40.373850749891801</v>
      </c>
      <c r="L27">
        <f t="shared" si="2"/>
        <v>34.047445808941639</v>
      </c>
      <c r="M27">
        <f t="shared" si="3"/>
        <v>147095.4541089267</v>
      </c>
    </row>
    <row r="28" spans="1:13" x14ac:dyDescent="0.45">
      <c r="A28">
        <v>99</v>
      </c>
      <c r="B28">
        <v>228</v>
      </c>
      <c r="C28" s="4">
        <f t="shared" si="8"/>
        <v>29.805361090818778</v>
      </c>
      <c r="D28" s="4">
        <f t="shared" si="8"/>
        <v>1.9140197699551293</v>
      </c>
      <c r="E28" s="4">
        <f t="shared" si="9"/>
        <v>219.2933183163766</v>
      </c>
      <c r="F28" s="6">
        <f t="shared" si="0"/>
        <v>-17.413363367246802</v>
      </c>
      <c r="G28" s="6">
        <f t="shared" si="1"/>
        <v>-1723.9229733574334</v>
      </c>
      <c r="H28" s="2">
        <f t="shared" si="4"/>
        <v>29.840035795109756</v>
      </c>
      <c r="I28" s="2">
        <f t="shared" si="5"/>
        <v>1.9458662776275217</v>
      </c>
      <c r="J28">
        <f t="shared" si="6"/>
        <v>-2.7074088958916036</v>
      </c>
      <c r="K28">
        <f t="shared" si="7"/>
        <v>-208.72876301064593</v>
      </c>
      <c r="L28">
        <f t="shared" si="2"/>
        <v>60.965223604024757</v>
      </c>
      <c r="M28">
        <f t="shared" si="3"/>
        <v>429576.95050498738</v>
      </c>
    </row>
    <row r="29" spans="1:13" x14ac:dyDescent="0.45">
      <c r="A29">
        <v>70</v>
      </c>
      <c r="B29">
        <v>170</v>
      </c>
      <c r="C29" s="4">
        <f t="shared" si="8"/>
        <v>29.840035795109756</v>
      </c>
      <c r="D29" s="4">
        <f t="shared" si="8"/>
        <v>1.9458662776275217</v>
      </c>
      <c r="E29" s="4">
        <f t="shared" si="9"/>
        <v>166.0506752290363</v>
      </c>
      <c r="F29" s="6">
        <f t="shared" si="0"/>
        <v>-7.8986495419273979</v>
      </c>
      <c r="G29" s="6">
        <f t="shared" si="1"/>
        <v>-552.90546793491785</v>
      </c>
      <c r="H29" s="2">
        <f t="shared" si="4"/>
        <v>29.881310940067941</v>
      </c>
      <c r="I29" s="2">
        <f t="shared" si="5"/>
        <v>1.983510741322505</v>
      </c>
      <c r="J29">
        <f t="shared" si="6"/>
        <v>-3.2265329604951831</v>
      </c>
      <c r="K29">
        <f t="shared" si="7"/>
        <v>-243.14643350307313</v>
      </c>
      <c r="L29">
        <f t="shared" si="2"/>
        <v>61.107567702241269</v>
      </c>
      <c r="M29">
        <f t="shared" si="3"/>
        <v>417189.70110172173</v>
      </c>
    </row>
    <row r="30" spans="1:13" x14ac:dyDescent="0.45">
      <c r="A30">
        <v>27</v>
      </c>
      <c r="B30">
        <v>84</v>
      </c>
      <c r="C30" s="4">
        <f t="shared" si="8"/>
        <v>29.881310940067941</v>
      </c>
      <c r="D30" s="4">
        <f t="shared" si="8"/>
        <v>1.983510741322505</v>
      </c>
      <c r="E30" s="4">
        <f t="shared" si="9"/>
        <v>83.436100955775572</v>
      </c>
      <c r="F30" s="6">
        <f t="shared" si="0"/>
        <v>-1.1277980884488557</v>
      </c>
      <c r="G30" s="6">
        <f t="shared" si="1"/>
        <v>-30.450548388119103</v>
      </c>
      <c r="H30" s="2">
        <f t="shared" si="4"/>
        <v>29.921941790448439</v>
      </c>
      <c r="I30" s="2">
        <f t="shared" si="5"/>
        <v>2.0197158886551483</v>
      </c>
      <c r="J30">
        <f t="shared" si="6"/>
        <v>-3.0166594732905505</v>
      </c>
      <c r="K30">
        <f t="shared" si="7"/>
        <v>-221.87684499157774</v>
      </c>
      <c r="L30">
        <f t="shared" si="2"/>
        <v>55.124003784848028</v>
      </c>
      <c r="M30">
        <f t="shared" si="3"/>
        <v>375563.4545812633</v>
      </c>
    </row>
    <row r="31" spans="1:13" x14ac:dyDescent="0.45">
      <c r="A31">
        <v>17</v>
      </c>
      <c r="B31">
        <v>64</v>
      </c>
      <c r="C31" s="4">
        <f t="shared" si="8"/>
        <v>29.921941790448439</v>
      </c>
      <c r="D31" s="4">
        <f t="shared" si="8"/>
        <v>2.0197158886551483</v>
      </c>
      <c r="E31" s="4">
        <f t="shared" si="9"/>
        <v>64.257111897585958</v>
      </c>
      <c r="F31" s="6">
        <f t="shared" si="0"/>
        <v>0.5142237951719153</v>
      </c>
      <c r="G31" s="6">
        <f t="shared" si="1"/>
        <v>8.7418045179225601</v>
      </c>
      <c r="H31" s="2">
        <f t="shared" si="4"/>
        <v>29.959747462528405</v>
      </c>
      <c r="I31" s="2">
        <f t="shared" si="5"/>
        <v>2.0539123586381676</v>
      </c>
      <c r="J31">
        <f t="shared" si="6"/>
        <v>-2.6635711464443039</v>
      </c>
      <c r="K31">
        <f t="shared" si="7"/>
        <v>-198.81498004062772</v>
      </c>
      <c r="L31">
        <f t="shared" si="2"/>
        <v>49.638046017515329</v>
      </c>
      <c r="M31">
        <f t="shared" si="3"/>
        <v>338014.75103775994</v>
      </c>
    </row>
    <row r="32" spans="1:13" x14ac:dyDescent="0.45">
      <c r="A32">
        <v>8</v>
      </c>
      <c r="B32">
        <v>46</v>
      </c>
      <c r="C32" s="4">
        <f t="shared" si="8"/>
        <v>29.959747462528405</v>
      </c>
      <c r="D32" s="4">
        <f t="shared" si="8"/>
        <v>2.0539123586381676</v>
      </c>
      <c r="E32" s="4">
        <f t="shared" si="9"/>
        <v>46.391046331633746</v>
      </c>
      <c r="F32" s="6">
        <f t="shared" si="0"/>
        <v>0.78209266326749116</v>
      </c>
      <c r="G32" s="6">
        <f t="shared" si="1"/>
        <v>6.2567413061399293</v>
      </c>
      <c r="H32" s="2">
        <f t="shared" si="4"/>
        <v>29.9944192265624</v>
      </c>
      <c r="I32" s="2">
        <f t="shared" si="5"/>
        <v>2.0862403324170447</v>
      </c>
      <c r="J32">
        <f t="shared" si="6"/>
        <v>-2.3190047654731245</v>
      </c>
      <c r="K32">
        <f t="shared" si="7"/>
        <v>-178.30780790595097</v>
      </c>
      <c r="L32">
        <f t="shared" si="2"/>
        <v>44.735408309157478</v>
      </c>
      <c r="M32">
        <f t="shared" si="3"/>
        <v>304217.19061516115</v>
      </c>
    </row>
    <row r="33" spans="1:15" x14ac:dyDescent="0.45">
      <c r="A33" s="6"/>
      <c r="B33" s="6"/>
      <c r="H33" s="2"/>
      <c r="J33">
        <v>1.8871073544462662</v>
      </c>
      <c r="K33">
        <v>167.3681217326772</v>
      </c>
      <c r="L33" s="6">
        <v>40.892736082118006</v>
      </c>
      <c r="M33" s="6">
        <v>275756.32497886667</v>
      </c>
      <c r="O33"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14288</xdr:colOff>
                    <xdr:row>0</xdr:row>
                    <xdr:rowOff>14288</xdr:rowOff>
                  </from>
                  <to>
                    <xdr:col>0</xdr:col>
                    <xdr:colOff>642938</xdr:colOff>
                    <xdr:row>0</xdr:row>
                    <xdr:rowOff>176213</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14288</xdr:colOff>
                    <xdr:row>1</xdr:row>
                    <xdr:rowOff>14288</xdr:rowOff>
                  </from>
                  <to>
                    <xdr:col>0</xdr:col>
                    <xdr:colOff>642938</xdr:colOff>
                    <xdr:row>1</xdr:row>
                    <xdr:rowOff>176213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dam_ann"/>
  <dimension ref="A1:O34"/>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defaultRowHeight="14.25" x14ac:dyDescent="0.45"/>
  <cols>
    <col min="3" max="3" width="8.796875" style="4" customWidth="1"/>
    <col min="4" max="4" width="10.796875" style="4" bestFit="1" customWidth="1"/>
    <col min="5" max="5" width="9.19921875" style="4" bestFit="1" customWidth="1"/>
    <col min="6" max="6" width="10.796875" style="6" bestFit="1" customWidth="1"/>
    <col min="7" max="7" width="10.19921875" style="6" bestFit="1" customWidth="1"/>
    <col min="8" max="8" width="8.33203125" bestFit="1" customWidth="1"/>
    <col min="9" max="9" width="5.796875" bestFit="1" customWidth="1"/>
    <col min="10" max="11" width="6.53125" customWidth="1"/>
    <col min="12" max="12" width="8.33203125" customWidth="1"/>
    <col min="13" max="13" width="13.19921875" customWidth="1"/>
    <col min="14" max="14" width="8.265625" customWidth="1"/>
  </cols>
  <sheetData>
    <row r="1" spans="1:15" x14ac:dyDescent="0.45">
      <c r="B1" t="s">
        <v>21</v>
      </c>
      <c r="C1" s="4">
        <v>29.990939773126538</v>
      </c>
      <c r="D1" s="4" t="s">
        <v>14</v>
      </c>
      <c r="I1" t="s">
        <v>24</v>
      </c>
      <c r="J1">
        <v>0.9</v>
      </c>
      <c r="K1">
        <f>1-J1</f>
        <v>9.9999999999999978E-2</v>
      </c>
      <c r="L1">
        <v>0.95</v>
      </c>
      <c r="M1">
        <f>1-L1</f>
        <v>5.0000000000000044E-2</v>
      </c>
    </row>
    <row r="2" spans="1:15" x14ac:dyDescent="0.45">
      <c r="B2" t="s">
        <v>22</v>
      </c>
      <c r="C2" s="4">
        <v>2.0041632844175137</v>
      </c>
      <c r="D2">
        <v>3.90625E-3</v>
      </c>
      <c r="F2" s="8"/>
      <c r="G2" s="8"/>
    </row>
    <row r="3" spans="1:15" s="1" customFormat="1" x14ac:dyDescent="0.45">
      <c r="A3" s="1" t="s">
        <v>15</v>
      </c>
      <c r="B3" s="1" t="s">
        <v>16</v>
      </c>
      <c r="C3" s="5" t="s">
        <v>21</v>
      </c>
      <c r="D3" s="5" t="s">
        <v>22</v>
      </c>
      <c r="E3" s="5" t="s">
        <v>18</v>
      </c>
      <c r="F3" s="7" t="s">
        <v>6</v>
      </c>
      <c r="G3" s="7" t="s">
        <v>9</v>
      </c>
      <c r="H3" s="1" t="s">
        <v>13</v>
      </c>
      <c r="I3" s="1" t="s">
        <v>12</v>
      </c>
      <c r="J3">
        <f>J33</f>
        <v>-4.8441943141925917E-2</v>
      </c>
      <c r="K3">
        <f>K33</f>
        <v>-4.0642025509844446</v>
      </c>
      <c r="L3">
        <f>L33</f>
        <v>2.527589588662521E-2</v>
      </c>
      <c r="M3">
        <f>M33</f>
        <v>161.89615404770484</v>
      </c>
      <c r="N3" s="3">
        <v>10.326280808548518</v>
      </c>
      <c r="O3" s="3"/>
    </row>
    <row r="4" spans="1:15" x14ac:dyDescent="0.45">
      <c r="A4">
        <v>14</v>
      </c>
      <c r="B4">
        <v>58</v>
      </c>
      <c r="C4" s="2">
        <f>C1</f>
        <v>29.990939773126538</v>
      </c>
      <c r="D4" s="2">
        <f>C2</f>
        <v>2.0041632844175137</v>
      </c>
      <c r="E4" s="2">
        <f>C4+D4*A4</f>
        <v>58.049225754971729</v>
      </c>
      <c r="F4" s="6">
        <f t="shared" ref="F4:F32" si="0">2*(D4*A4+C4-B4)</f>
        <v>9.8451509943458859E-2</v>
      </c>
      <c r="G4" s="6">
        <f t="shared" ref="G4:G32" si="1">F4*A4</f>
        <v>1.378321139208424</v>
      </c>
      <c r="H4" s="2">
        <f>C4-J4*$D$2/SQRT(L4)</f>
        <v>29.991782162981227</v>
      </c>
      <c r="I4" s="2">
        <f>D4-K4*$D$2/SQRT(M4)</f>
        <v>2.0052716484223598</v>
      </c>
      <c r="J4">
        <f>J3*$J$1+$K$1*F4</f>
        <v>-3.3752597833387438E-2</v>
      </c>
      <c r="K4">
        <f>K3*$J$1+$K$1*G4</f>
        <v>-3.5199501819651577</v>
      </c>
      <c r="L4">
        <f t="shared" ref="L4:M19" si="2">L3*$L$1+$M$1*F4^2</f>
        <v>2.4496736082801299E-2</v>
      </c>
      <c r="M4">
        <f t="shared" si="2"/>
        <v>153.89633480345904</v>
      </c>
    </row>
    <row r="5" spans="1:15" x14ac:dyDescent="0.45">
      <c r="A5">
        <v>86</v>
      </c>
      <c r="B5">
        <v>202</v>
      </c>
      <c r="C5" s="2">
        <f>H4</f>
        <v>29.991782162981227</v>
      </c>
      <c r="D5" s="2">
        <f>I4</f>
        <v>2.0052716484223598</v>
      </c>
      <c r="E5" s="2">
        <f>C5+D5*A5</f>
        <v>202.44514392730417</v>
      </c>
      <c r="F5" s="6">
        <f t="shared" si="0"/>
        <v>0.8902878546083457</v>
      </c>
      <c r="G5" s="6">
        <f t="shared" si="1"/>
        <v>76.56475549631773</v>
      </c>
      <c r="H5" s="2">
        <f t="shared" ref="H5:I32" si="3">C5-J5*$D$2/SQRT(L5)</f>
        <v>29.990868671002836</v>
      </c>
      <c r="I5" s="2">
        <f t="shared" si="3"/>
        <v>2.0044351254225292</v>
      </c>
      <c r="J5">
        <f t="shared" ref="J5:K20" si="4">J4*$J$1+$K$1*F5</f>
        <v>5.8651447410785859E-2</v>
      </c>
      <c r="K5">
        <f t="shared" si="4"/>
        <v>4.4885203858631293</v>
      </c>
      <c r="L5">
        <f t="shared" si="2"/>
        <v>6.290252248181781E-2</v>
      </c>
      <c r="M5">
        <f t="shared" si="2"/>
        <v>439.30960727383217</v>
      </c>
    </row>
    <row r="6" spans="1:15" x14ac:dyDescent="0.45">
      <c r="A6">
        <v>28</v>
      </c>
      <c r="B6">
        <v>86</v>
      </c>
      <c r="C6" s="2">
        <f>H5</f>
        <v>29.990868671002836</v>
      </c>
      <c r="D6" s="2">
        <f>I5</f>
        <v>2.0044351254225292</v>
      </c>
      <c r="E6" s="2">
        <f>C6+D6*A6</f>
        <v>86.115052182833665</v>
      </c>
      <c r="F6" s="6">
        <f t="shared" si="0"/>
        <v>0.23010436566733006</v>
      </c>
      <c r="G6" s="6">
        <f t="shared" si="1"/>
        <v>6.4429222386852416</v>
      </c>
      <c r="H6" s="2">
        <f t="shared" si="3"/>
        <v>29.989683443913819</v>
      </c>
      <c r="I6" s="2">
        <f t="shared" si="3"/>
        <v>2.0035417194361194</v>
      </c>
      <c r="J6">
        <f t="shared" si="4"/>
        <v>7.5796739236440272E-2</v>
      </c>
      <c r="K6">
        <f t="shared" si="4"/>
        <v>4.6839605711453407</v>
      </c>
      <c r="L6">
        <f t="shared" si="2"/>
        <v>6.2404797312685133E-2</v>
      </c>
      <c r="M6">
        <f t="shared" si="2"/>
        <v>419.41968925882776</v>
      </c>
    </row>
    <row r="7" spans="1:15" x14ac:dyDescent="0.45">
      <c r="A7">
        <v>51</v>
      </c>
      <c r="B7">
        <v>132</v>
      </c>
      <c r="C7" s="2">
        <f t="shared" ref="C7:D32" si="5">H6</f>
        <v>29.989683443913819</v>
      </c>
      <c r="D7" s="2">
        <f t="shared" si="5"/>
        <v>2.0035417194361194</v>
      </c>
      <c r="E7" s="2">
        <f t="shared" ref="E7:E32" si="6">C7+D7*A7</f>
        <v>132.17031113515591</v>
      </c>
      <c r="F7" s="6">
        <f t="shared" si="0"/>
        <v>0.34062227031182601</v>
      </c>
      <c r="G7" s="6">
        <f t="shared" si="1"/>
        <v>17.371735785903127</v>
      </c>
      <c r="H7" s="2">
        <f t="shared" si="3"/>
        <v>29.988117396719609</v>
      </c>
      <c r="I7" s="2">
        <f t="shared" si="3"/>
        <v>2.0023982637813695</v>
      </c>
      <c r="J7">
        <f t="shared" si="4"/>
        <v>0.10227929234397884</v>
      </c>
      <c r="K7">
        <f t="shared" si="4"/>
        <v>5.9527380926211189</v>
      </c>
      <c r="L7">
        <f t="shared" si="2"/>
        <v>6.5085733998670015E-2</v>
      </c>
      <c r="M7">
        <f t="shared" si="2"/>
        <v>413.5375650066477</v>
      </c>
    </row>
    <row r="8" spans="1:15" x14ac:dyDescent="0.45">
      <c r="A8">
        <v>28</v>
      </c>
      <c r="B8">
        <v>86</v>
      </c>
      <c r="C8" s="2">
        <f t="shared" si="5"/>
        <v>29.988117396719609</v>
      </c>
      <c r="D8" s="2">
        <f t="shared" si="5"/>
        <v>2.0023982637813695</v>
      </c>
      <c r="E8" s="2">
        <f t="shared" si="6"/>
        <v>86.055268782597949</v>
      </c>
      <c r="F8" s="6">
        <f t="shared" si="0"/>
        <v>0.11053756519589797</v>
      </c>
      <c r="G8" s="6">
        <f t="shared" si="1"/>
        <v>3.0950518254851431</v>
      </c>
      <c r="H8" s="2">
        <f t="shared" si="3"/>
        <v>29.986505636031925</v>
      </c>
      <c r="I8" s="2">
        <f t="shared" si="3"/>
        <v>2.0012821022727345</v>
      </c>
      <c r="J8">
        <f t="shared" si="4"/>
        <v>0.10310511962917075</v>
      </c>
      <c r="K8">
        <f t="shared" si="4"/>
        <v>5.6669694659075205</v>
      </c>
      <c r="L8">
        <f t="shared" si="2"/>
        <v>6.2442374964708384E-2</v>
      </c>
      <c r="M8">
        <f t="shared" si="2"/>
        <v>393.33965404643726</v>
      </c>
    </row>
    <row r="9" spans="1:15" x14ac:dyDescent="0.45">
      <c r="A9">
        <v>29</v>
      </c>
      <c r="B9">
        <v>88</v>
      </c>
      <c r="C9" s="2">
        <f t="shared" si="5"/>
        <v>29.986505636031925</v>
      </c>
      <c r="D9" s="2">
        <f t="shared" si="5"/>
        <v>2.0012821022727345</v>
      </c>
      <c r="E9" s="2">
        <f t="shared" si="6"/>
        <v>88.023686601941222</v>
      </c>
      <c r="F9" s="6">
        <f t="shared" si="0"/>
        <v>4.7373203882443704E-2</v>
      </c>
      <c r="G9" s="6">
        <f t="shared" si="1"/>
        <v>1.3738229125908674</v>
      </c>
      <c r="H9" s="2">
        <f t="shared" si="3"/>
        <v>29.984942866395805</v>
      </c>
      <c r="I9" s="2">
        <f t="shared" si="3"/>
        <v>2.0002238324641279</v>
      </c>
      <c r="J9">
        <f t="shared" si="4"/>
        <v>9.7531928054498049E-2</v>
      </c>
      <c r="K9">
        <f t="shared" si="4"/>
        <v>5.2376548105758554</v>
      </c>
      <c r="L9">
        <f t="shared" si="2"/>
        <v>5.9432467238777341E-2</v>
      </c>
      <c r="M9">
        <f t="shared" si="2"/>
        <v>373.76704081387334</v>
      </c>
    </row>
    <row r="10" spans="1:15" x14ac:dyDescent="0.45">
      <c r="A10">
        <v>72</v>
      </c>
      <c r="B10">
        <v>174</v>
      </c>
      <c r="C10" s="2">
        <f t="shared" si="5"/>
        <v>29.984942866395805</v>
      </c>
      <c r="D10" s="2">
        <f t="shared" si="5"/>
        <v>2.0002238324641279</v>
      </c>
      <c r="E10" s="2">
        <f t="shared" si="6"/>
        <v>174.00105880381304</v>
      </c>
      <c r="F10" s="6">
        <f t="shared" si="0"/>
        <v>2.1176076260758236E-3</v>
      </c>
      <c r="G10" s="6">
        <f t="shared" si="1"/>
        <v>0.1524677490774593</v>
      </c>
      <c r="H10" s="2">
        <f t="shared" si="3"/>
        <v>29.983496357010576</v>
      </c>
      <c r="I10" s="2">
        <f t="shared" si="3"/>
        <v>1.9992434877007954</v>
      </c>
      <c r="J10">
        <f t="shared" si="4"/>
        <v>8.799049601165583E-2</v>
      </c>
      <c r="K10">
        <f t="shared" si="4"/>
        <v>4.7291361044260158</v>
      </c>
      <c r="L10">
        <f t="shared" si="2"/>
        <v>5.6461068089941377E-2</v>
      </c>
      <c r="M10">
        <f t="shared" si="2"/>
        <v>355.07985109390506</v>
      </c>
    </row>
    <row r="11" spans="1:15" x14ac:dyDescent="0.45">
      <c r="A11">
        <v>62</v>
      </c>
      <c r="B11">
        <v>154</v>
      </c>
      <c r="C11" s="2">
        <f t="shared" si="5"/>
        <v>29.983496357010576</v>
      </c>
      <c r="D11" s="2">
        <f t="shared" si="5"/>
        <v>1.9992434877007954</v>
      </c>
      <c r="E11" s="2">
        <f t="shared" si="6"/>
        <v>153.93659259445988</v>
      </c>
      <c r="F11" s="6">
        <f t="shared" si="0"/>
        <v>-0.12681481108023718</v>
      </c>
      <c r="G11" s="6">
        <f t="shared" si="1"/>
        <v>-7.862518286974705</v>
      </c>
      <c r="H11" s="2">
        <f t="shared" si="3"/>
        <v>29.982382885105032</v>
      </c>
      <c r="I11" s="2">
        <f t="shared" si="3"/>
        <v>1.9985088379528462</v>
      </c>
      <c r="J11">
        <f t="shared" si="4"/>
        <v>6.6509965302466542E-2</v>
      </c>
      <c r="K11">
        <f t="shared" si="4"/>
        <v>3.4699706652859441</v>
      </c>
      <c r="L11">
        <f t="shared" si="2"/>
        <v>5.4442114500910119E-2</v>
      </c>
      <c r="M11">
        <f t="shared" si="2"/>
        <v>340.41681822986038</v>
      </c>
    </row>
    <row r="12" spans="1:15" x14ac:dyDescent="0.45">
      <c r="A12">
        <v>84</v>
      </c>
      <c r="B12">
        <v>198</v>
      </c>
      <c r="C12" s="2">
        <f t="shared" si="5"/>
        <v>29.982382885105032</v>
      </c>
      <c r="D12" s="2">
        <f t="shared" si="5"/>
        <v>1.9985088379528462</v>
      </c>
      <c r="E12" s="2">
        <f t="shared" si="6"/>
        <v>197.85712527314411</v>
      </c>
      <c r="F12" s="6">
        <f t="shared" si="0"/>
        <v>-0.28574945371178728</v>
      </c>
      <c r="G12" s="6">
        <f t="shared" si="1"/>
        <v>-24.002954111790132</v>
      </c>
      <c r="H12" s="2">
        <f t="shared" si="3"/>
        <v>29.981865569904812</v>
      </c>
      <c r="I12" s="2">
        <f t="shared" si="3"/>
        <v>1.9983584169726862</v>
      </c>
      <c r="J12">
        <f t="shared" si="4"/>
        <v>3.1284023401041167E-2</v>
      </c>
      <c r="K12">
        <f t="shared" si="4"/>
        <v>0.72267818757833746</v>
      </c>
      <c r="L12">
        <f t="shared" si="2"/>
        <v>5.5802646290693862E-2</v>
      </c>
      <c r="M12">
        <f t="shared" si="2"/>
        <v>352.20306762300248</v>
      </c>
    </row>
    <row r="13" spans="1:15" x14ac:dyDescent="0.45">
      <c r="A13">
        <v>15</v>
      </c>
      <c r="B13">
        <v>60</v>
      </c>
      <c r="C13" s="2">
        <f t="shared" si="5"/>
        <v>29.981865569904812</v>
      </c>
      <c r="D13" s="2">
        <f t="shared" si="5"/>
        <v>1.9983584169726862</v>
      </c>
      <c r="E13" s="2">
        <f t="shared" si="6"/>
        <v>59.957241824495107</v>
      </c>
      <c r="F13" s="6">
        <f t="shared" si="0"/>
        <v>-8.5516351009786717E-2</v>
      </c>
      <c r="G13" s="6">
        <f t="shared" si="1"/>
        <v>-1.2827452651468008</v>
      </c>
      <c r="H13" s="2">
        <f t="shared" si="3"/>
        <v>29.981534116417784</v>
      </c>
      <c r="I13" s="2">
        <f t="shared" si="3"/>
        <v>1.9982469280331387</v>
      </c>
      <c r="J13">
        <f t="shared" si="4"/>
        <v>1.9603985959958381E-2</v>
      </c>
      <c r="K13">
        <f t="shared" si="4"/>
        <v>0.52213584230582366</v>
      </c>
      <c r="L13">
        <f t="shared" si="2"/>
        <v>5.3378166290660618E-2</v>
      </c>
      <c r="M13">
        <f t="shared" si="2"/>
        <v>334.67518601261514</v>
      </c>
    </row>
    <row r="14" spans="1:15" x14ac:dyDescent="0.45">
      <c r="A14">
        <v>42</v>
      </c>
      <c r="B14">
        <v>114</v>
      </c>
      <c r="C14" s="2">
        <f t="shared" si="5"/>
        <v>29.981534116417784</v>
      </c>
      <c r="D14" s="2">
        <f t="shared" si="5"/>
        <v>1.9982469280331387</v>
      </c>
      <c r="E14" s="2">
        <f t="shared" si="6"/>
        <v>113.9079050938096</v>
      </c>
      <c r="F14" s="6">
        <f t="shared" si="0"/>
        <v>-0.18418981238079368</v>
      </c>
      <c r="G14" s="6">
        <f t="shared" si="1"/>
        <v>-7.7359721199933347</v>
      </c>
      <c r="H14" s="2">
        <f t="shared" si="3"/>
        <v>29.981547347450675</v>
      </c>
      <c r="I14" s="2">
        <f t="shared" si="3"/>
        <v>1.9983131437910253</v>
      </c>
      <c r="J14">
        <f t="shared" si="4"/>
        <v>-7.7539387411681981E-4</v>
      </c>
      <c r="K14">
        <f t="shared" si="4"/>
        <v>-0.30367495392409199</v>
      </c>
      <c r="L14">
        <f t="shared" si="2"/>
        <v>5.2405552325371182E-2</v>
      </c>
      <c r="M14">
        <f t="shared" si="2"/>
        <v>320.93368994405012</v>
      </c>
    </row>
    <row r="15" spans="1:15" x14ac:dyDescent="0.45">
      <c r="A15">
        <v>62</v>
      </c>
      <c r="B15">
        <v>154</v>
      </c>
      <c r="C15" s="2">
        <f t="shared" si="5"/>
        <v>29.981547347450675</v>
      </c>
      <c r="D15" s="2">
        <f>I14</f>
        <v>1.9983131437910253</v>
      </c>
      <c r="E15" s="2">
        <f t="shared" si="6"/>
        <v>153.87696226249426</v>
      </c>
      <c r="F15" s="6">
        <f t="shared" si="0"/>
        <v>-0.24607547501148019</v>
      </c>
      <c r="G15" s="6">
        <f t="shared" si="1"/>
        <v>-15.256679450711772</v>
      </c>
      <c r="H15" s="2">
        <f t="shared" si="3"/>
        <v>29.981977480821282</v>
      </c>
      <c r="I15" s="2">
        <f t="shared" si="3"/>
        <v>1.9987081291817614</v>
      </c>
      <c r="J15">
        <f t="shared" si="4"/>
        <v>-2.5305401987853152E-2</v>
      </c>
      <c r="K15">
        <f t="shared" si="4"/>
        <v>-1.7989754036028596</v>
      </c>
      <c r="L15">
        <f t="shared" si="2"/>
        <v>5.2812931679208905E-2</v>
      </c>
      <c r="M15">
        <f t="shared" si="2"/>
        <v>316.52531883993612</v>
      </c>
    </row>
    <row r="16" spans="1:15" x14ac:dyDescent="0.45">
      <c r="A16">
        <v>47</v>
      </c>
      <c r="B16">
        <v>124</v>
      </c>
      <c r="C16" s="2">
        <f t="shared" si="5"/>
        <v>29.981977480821282</v>
      </c>
      <c r="D16" s="2">
        <f t="shared" si="5"/>
        <v>1.9987081291817614</v>
      </c>
      <c r="E16" s="2">
        <f t="shared" si="6"/>
        <v>123.92125955236408</v>
      </c>
      <c r="F16" s="6">
        <f t="shared" si="0"/>
        <v>-0.15748089527184561</v>
      </c>
      <c r="G16" s="6">
        <f t="shared" si="1"/>
        <v>-7.4016020777767437</v>
      </c>
      <c r="H16" s="2">
        <f t="shared" si="3"/>
        <v>29.982641141495456</v>
      </c>
      <c r="I16" s="2">
        <f t="shared" si="3"/>
        <v>1.9992371790958148</v>
      </c>
      <c r="J16">
        <f t="shared" si="4"/>
        <v>-3.8522951316252392E-2</v>
      </c>
      <c r="K16">
        <f t="shared" si="4"/>
        <v>-2.3592380710202479</v>
      </c>
      <c r="L16">
        <f t="shared" si="2"/>
        <v>5.1412296714029561E-2</v>
      </c>
      <c r="M16">
        <f t="shared" si="2"/>
        <v>303.43823856382676</v>
      </c>
    </row>
    <row r="17" spans="1:13" x14ac:dyDescent="0.45">
      <c r="A17">
        <v>35</v>
      </c>
      <c r="B17">
        <v>100</v>
      </c>
      <c r="C17" s="2">
        <f t="shared" si="5"/>
        <v>29.982641141495456</v>
      </c>
      <c r="D17" s="2">
        <f t="shared" si="5"/>
        <v>1.9992371790958148</v>
      </c>
      <c r="E17" s="2">
        <f t="shared" si="6"/>
        <v>99.955942409848973</v>
      </c>
      <c r="F17" s="6">
        <f t="shared" si="0"/>
        <v>-8.8115180302054341E-2</v>
      </c>
      <c r="G17" s="6">
        <f t="shared" si="1"/>
        <v>-3.0840313105719019</v>
      </c>
      <c r="H17" s="2">
        <f t="shared" si="3"/>
        <v>29.983406661998057</v>
      </c>
      <c r="I17" s="2">
        <f t="shared" si="3"/>
        <v>1.9997961873741625</v>
      </c>
      <c r="J17">
        <f t="shared" si="4"/>
        <v>-4.3482174214832588E-2</v>
      </c>
      <c r="K17">
        <f t="shared" si="4"/>
        <v>-2.4317173949754132</v>
      </c>
      <c r="L17">
        <f t="shared" si="2"/>
        <v>4.922989612831126E-2</v>
      </c>
      <c r="M17">
        <f t="shared" si="2"/>
        <v>288.74188909186478</v>
      </c>
    </row>
    <row r="18" spans="1:13" x14ac:dyDescent="0.45">
      <c r="A18">
        <v>9</v>
      </c>
      <c r="B18">
        <v>48</v>
      </c>
      <c r="C18" s="2">
        <f t="shared" si="5"/>
        <v>29.983406661998057</v>
      </c>
      <c r="D18" s="2">
        <f t="shared" si="5"/>
        <v>1.9997961873741625</v>
      </c>
      <c r="E18" s="2">
        <f t="shared" si="6"/>
        <v>47.981572348365518</v>
      </c>
      <c r="F18" s="6">
        <f t="shared" si="0"/>
        <v>-3.685530326896469E-2</v>
      </c>
      <c r="G18" s="6">
        <f t="shared" si="1"/>
        <v>-0.33169772942068221</v>
      </c>
      <c r="H18" s="2">
        <f t="shared" si="3"/>
        <v>29.984179538542723</v>
      </c>
      <c r="I18" s="2">
        <f t="shared" si="3"/>
        <v>2.0003201826980712</v>
      </c>
      <c r="J18">
        <f t="shared" si="4"/>
        <v>-4.2819487120245796E-2</v>
      </c>
      <c r="K18">
        <f t="shared" si="4"/>
        <v>-2.2217154284199401</v>
      </c>
      <c r="L18">
        <f t="shared" si="2"/>
        <v>4.6836316990848059E-2</v>
      </c>
      <c r="M18">
        <f t="shared" si="2"/>
        <v>274.31029580645668</v>
      </c>
    </row>
    <row r="19" spans="1:13" x14ac:dyDescent="0.45">
      <c r="A19">
        <v>38</v>
      </c>
      <c r="B19">
        <v>106</v>
      </c>
      <c r="C19" s="2">
        <f t="shared" si="5"/>
        <v>29.984179538542723</v>
      </c>
      <c r="D19" s="2">
        <f t="shared" si="5"/>
        <v>2.0003201826980712</v>
      </c>
      <c r="E19" s="2">
        <f t="shared" si="6"/>
        <v>105.99634648106942</v>
      </c>
      <c r="F19" s="6">
        <f t="shared" si="0"/>
        <v>-7.307037861153276E-3</v>
      </c>
      <c r="G19" s="6">
        <f t="shared" si="1"/>
        <v>-0.27766743872382449</v>
      </c>
      <c r="H19" s="2">
        <f t="shared" si="3"/>
        <v>29.984906707442548</v>
      </c>
      <c r="I19" s="2">
        <f t="shared" si="3"/>
        <v>2.0008107451038715</v>
      </c>
      <c r="J19">
        <f t="shared" si="4"/>
        <v>-3.9268242194336542E-2</v>
      </c>
      <c r="K19">
        <f t="shared" si="4"/>
        <v>-2.0273106294503287</v>
      </c>
      <c r="L19">
        <f t="shared" si="2"/>
        <v>4.4497170781420868E-2</v>
      </c>
      <c r="M19">
        <f t="shared" si="2"/>
        <v>260.59863597646017</v>
      </c>
    </row>
    <row r="20" spans="1:13" x14ac:dyDescent="0.45">
      <c r="A20">
        <v>44</v>
      </c>
      <c r="B20">
        <v>118</v>
      </c>
      <c r="C20" s="2">
        <f t="shared" si="5"/>
        <v>29.984906707442548</v>
      </c>
      <c r="D20" s="2">
        <f t="shared" si="5"/>
        <v>2.0008107451038715</v>
      </c>
      <c r="E20" s="2">
        <f t="shared" si="6"/>
        <v>118.0205794920129</v>
      </c>
      <c r="F20" s="6">
        <f t="shared" si="0"/>
        <v>4.1158984025798873E-2</v>
      </c>
      <c r="G20" s="6">
        <f t="shared" si="1"/>
        <v>1.8109952971351504</v>
      </c>
      <c r="H20" s="2">
        <f t="shared" si="3"/>
        <v>29.985499369375397</v>
      </c>
      <c r="I20" s="2">
        <f t="shared" si="3"/>
        <v>2.0012186254781246</v>
      </c>
      <c r="J20">
        <f t="shared" si="4"/>
        <v>-3.1225519572323002E-2</v>
      </c>
      <c r="K20">
        <f t="shared" si="4"/>
        <v>-1.643480036791781</v>
      </c>
      <c r="L20">
        <f t="shared" ref="L20:M32" si="7">L19*$L$1+$M$1*F20^2</f>
        <v>4.2357015340651616E-2</v>
      </c>
      <c r="M20">
        <f t="shared" si="7"/>
        <v>247.73268937594943</v>
      </c>
    </row>
    <row r="21" spans="1:13" x14ac:dyDescent="0.45">
      <c r="A21">
        <v>99</v>
      </c>
      <c r="B21">
        <v>228</v>
      </c>
      <c r="C21" s="2">
        <f t="shared" si="5"/>
        <v>29.985499369375397</v>
      </c>
      <c r="D21" s="2">
        <f t="shared" si="5"/>
        <v>2.0012186254781246</v>
      </c>
      <c r="E21" s="2">
        <f t="shared" si="6"/>
        <v>228.10614329170971</v>
      </c>
      <c r="F21" s="6">
        <f t="shared" si="0"/>
        <v>0.21228658341942719</v>
      </c>
      <c r="G21" s="6">
        <f t="shared" si="1"/>
        <v>21.016371758523292</v>
      </c>
      <c r="H21" s="2">
        <f t="shared" si="3"/>
        <v>29.985629636025489</v>
      </c>
      <c r="I21" s="2">
        <f t="shared" si="3"/>
        <v>2.001067069517636</v>
      </c>
      <c r="J21">
        <f t="shared" ref="J21:K32" si="8">J20*$J$1+$K$1*F21</f>
        <v>-6.8743092731479889E-3</v>
      </c>
      <c r="K21">
        <f t="shared" si="8"/>
        <v>0.6225051427397259</v>
      </c>
      <c r="L21">
        <f t="shared" si="7"/>
        <v>4.249244424861371E-2</v>
      </c>
      <c r="M21">
        <f t="shared" si="7"/>
        <v>257.43044900177472</v>
      </c>
    </row>
    <row r="22" spans="1:13" x14ac:dyDescent="0.45">
      <c r="A22">
        <v>13</v>
      </c>
      <c r="B22">
        <v>56</v>
      </c>
      <c r="C22" s="2">
        <f t="shared" si="5"/>
        <v>29.985629636025489</v>
      </c>
      <c r="D22" s="2">
        <f t="shared" si="5"/>
        <v>2.001067069517636</v>
      </c>
      <c r="E22" s="2">
        <f t="shared" si="6"/>
        <v>55.99950153975476</v>
      </c>
      <c r="F22" s="6">
        <f t="shared" si="0"/>
        <v>-9.9692049047916953E-4</v>
      </c>
      <c r="G22" s="6">
        <f t="shared" si="1"/>
        <v>-1.2959966376229204E-2</v>
      </c>
      <c r="H22" s="2">
        <f t="shared" si="3"/>
        <v>29.985751859856183</v>
      </c>
      <c r="I22" s="2">
        <f t="shared" si="3"/>
        <v>2.0009274494208533</v>
      </c>
      <c r="J22">
        <f t="shared" si="8"/>
        <v>-6.286570394881107E-3</v>
      </c>
      <c r="K22">
        <f t="shared" si="8"/>
        <v>0.55895863182813044</v>
      </c>
      <c r="L22">
        <f t="shared" si="7"/>
        <v>4.0367871728706234E-2</v>
      </c>
      <c r="M22">
        <f t="shared" si="7"/>
        <v>244.55893494972238</v>
      </c>
    </row>
    <row r="23" spans="1:13" x14ac:dyDescent="0.45">
      <c r="A23">
        <v>21</v>
      </c>
      <c r="B23">
        <v>72</v>
      </c>
      <c r="C23" s="2">
        <f t="shared" si="5"/>
        <v>29.985751859856183</v>
      </c>
      <c r="D23" s="2">
        <f t="shared" si="5"/>
        <v>2.0009274494208533</v>
      </c>
      <c r="E23" s="2">
        <f t="shared" si="6"/>
        <v>72.005228297694103</v>
      </c>
      <c r="F23" s="6">
        <f t="shared" si="0"/>
        <v>1.0456595388205869E-2</v>
      </c>
      <c r="G23" s="6">
        <f t="shared" si="1"/>
        <v>0.21958850315232326</v>
      </c>
      <c r="H23" s="2">
        <f t="shared" si="3"/>
        <v>29.985843854501752</v>
      </c>
      <c r="I23" s="2">
        <f t="shared" si="3"/>
        <v>2.0007929001345932</v>
      </c>
      <c r="J23">
        <f t="shared" si="8"/>
        <v>-4.6122538165724106E-3</v>
      </c>
      <c r="K23">
        <f t="shared" si="8"/>
        <v>0.52502161896054977</v>
      </c>
      <c r="L23">
        <f t="shared" si="7"/>
        <v>3.8354945161626554E-2</v>
      </c>
      <c r="M23">
        <f t="shared" si="7"/>
        <v>232.33339915777208</v>
      </c>
    </row>
    <row r="24" spans="1:13" x14ac:dyDescent="0.45">
      <c r="A24">
        <v>28</v>
      </c>
      <c r="B24">
        <v>86</v>
      </c>
      <c r="C24" s="2">
        <f t="shared" si="5"/>
        <v>29.985843854501752</v>
      </c>
      <c r="D24" s="2">
        <f t="shared" si="5"/>
        <v>2.0007929001345932</v>
      </c>
      <c r="E24" s="2">
        <f t="shared" si="6"/>
        <v>86.008045058270369</v>
      </c>
      <c r="F24" s="6">
        <f t="shared" si="0"/>
        <v>1.6090116540738109E-2</v>
      </c>
      <c r="G24" s="6">
        <f t="shared" si="1"/>
        <v>0.45052326314066704</v>
      </c>
      <c r="H24" s="2">
        <f t="shared" si="3"/>
        <v>29.985895864738737</v>
      </c>
      <c r="I24" s="2">
        <f t="shared" si="3"/>
        <v>2.0006568174036059</v>
      </c>
      <c r="J24">
        <f t="shared" si="8"/>
        <v>-2.5420167808413597E-3</v>
      </c>
      <c r="K24">
        <f t="shared" si="8"/>
        <v>0.51757178337856158</v>
      </c>
      <c r="L24">
        <f t="shared" si="7"/>
        <v>3.6450142496059948E-2</v>
      </c>
      <c r="M24">
        <f t="shared" si="7"/>
        <v>220.72687776041502</v>
      </c>
    </row>
    <row r="25" spans="1:13" x14ac:dyDescent="0.45">
      <c r="A25">
        <v>20</v>
      </c>
      <c r="B25">
        <v>70</v>
      </c>
      <c r="C25" s="2">
        <f t="shared" si="5"/>
        <v>29.985895864738737</v>
      </c>
      <c r="D25" s="2">
        <f t="shared" si="5"/>
        <v>2.0006568174036059</v>
      </c>
      <c r="E25" s="2">
        <f t="shared" si="6"/>
        <v>69.999032212810846</v>
      </c>
      <c r="F25" s="6">
        <f t="shared" si="0"/>
        <v>-1.935574378308047E-3</v>
      </c>
      <c r="G25" s="6">
        <f t="shared" si="1"/>
        <v>-3.871148756616094E-2</v>
      </c>
      <c r="H25" s="2">
        <f t="shared" si="3"/>
        <v>29.985947952946432</v>
      </c>
      <c r="I25" s="2">
        <f t="shared" si="3"/>
        <v>2.0005322055478159</v>
      </c>
      <c r="J25">
        <f t="shared" si="8"/>
        <v>-2.4813725405880283E-3</v>
      </c>
      <c r="K25">
        <f t="shared" si="8"/>
        <v>0.46194345628408934</v>
      </c>
      <c r="L25">
        <f t="shared" si="7"/>
        <v>3.4627822693665641E-2</v>
      </c>
      <c r="M25">
        <f t="shared" si="7"/>
        <v>209.69060880135774</v>
      </c>
    </row>
    <row r="26" spans="1:13" x14ac:dyDescent="0.45">
      <c r="A26">
        <v>8</v>
      </c>
      <c r="B26">
        <v>46</v>
      </c>
      <c r="C26" s="2">
        <f t="shared" si="5"/>
        <v>29.985947952946432</v>
      </c>
      <c r="D26" s="2">
        <f t="shared" si="5"/>
        <v>2.0005322055478159</v>
      </c>
      <c r="E26" s="2">
        <f t="shared" si="6"/>
        <v>45.990205597328959</v>
      </c>
      <c r="F26" s="6">
        <f t="shared" si="0"/>
        <v>-1.9588805342081628E-2</v>
      </c>
      <c r="G26" s="6">
        <f t="shared" si="1"/>
        <v>-0.15671044273665302</v>
      </c>
      <c r="H26" s="2">
        <f t="shared" si="3"/>
        <v>29.98603821231757</v>
      </c>
      <c r="I26" s="2">
        <f t="shared" si="3"/>
        <v>2.0004214789016057</v>
      </c>
      <c r="J26">
        <f t="shared" si="8"/>
        <v>-4.1921158207373875E-3</v>
      </c>
      <c r="K26">
        <f t="shared" si="8"/>
        <v>0.40007806638201515</v>
      </c>
      <c r="L26">
        <f t="shared" si="7"/>
        <v>3.2915617623718856E-2</v>
      </c>
      <c r="M26">
        <f t="shared" si="7"/>
        <v>199.20730626943299</v>
      </c>
    </row>
    <row r="27" spans="1:13" x14ac:dyDescent="0.45">
      <c r="A27">
        <v>64</v>
      </c>
      <c r="B27">
        <v>158</v>
      </c>
      <c r="C27" s="2">
        <f t="shared" si="5"/>
        <v>29.98603821231757</v>
      </c>
      <c r="D27" s="2">
        <f t="shared" si="5"/>
        <v>2.0004214789016057</v>
      </c>
      <c r="E27" s="2">
        <f t="shared" si="6"/>
        <v>158.01301286202033</v>
      </c>
      <c r="F27" s="6">
        <f t="shared" si="0"/>
        <v>2.60257240406645E-2</v>
      </c>
      <c r="G27" s="6">
        <f t="shared" si="1"/>
        <v>1.665646338602528</v>
      </c>
      <c r="H27" s="2">
        <f t="shared" si="3"/>
        <v>29.986064051049215</v>
      </c>
      <c r="I27" s="2">
        <f t="shared" si="3"/>
        <v>2.0002719944164387</v>
      </c>
      <c r="J27">
        <f t="shared" si="8"/>
        <v>-1.1703318345971997E-3</v>
      </c>
      <c r="K27">
        <f t="shared" si="8"/>
        <v>0.52663489360406635</v>
      </c>
      <c r="L27">
        <f t="shared" si="7"/>
        <v>3.1303703658124953E-2</v>
      </c>
      <c r="M27">
        <f t="shared" si="7"/>
        <v>189.38565984222632</v>
      </c>
    </row>
    <row r="28" spans="1:13" x14ac:dyDescent="0.45">
      <c r="A28">
        <v>99</v>
      </c>
      <c r="B28">
        <v>228</v>
      </c>
      <c r="C28" s="2">
        <f t="shared" si="5"/>
        <v>29.986064051049215</v>
      </c>
      <c r="D28" s="2">
        <f t="shared" si="5"/>
        <v>2.0002719944164387</v>
      </c>
      <c r="E28" s="2">
        <f t="shared" si="6"/>
        <v>228.01299149827665</v>
      </c>
      <c r="F28" s="6">
        <f t="shared" si="0"/>
        <v>2.5982996553295834E-2</v>
      </c>
      <c r="G28" s="6">
        <f t="shared" si="1"/>
        <v>2.5723166587762876</v>
      </c>
      <c r="H28" s="2">
        <f t="shared" si="3"/>
        <v>29.986029074030043</v>
      </c>
      <c r="I28" s="2">
        <f t="shared" si="3"/>
        <v>2.0000592472637915</v>
      </c>
      <c r="J28">
        <f t="shared" si="8"/>
        <v>1.5450010041921031E-3</v>
      </c>
      <c r="K28">
        <f t="shared" si="8"/>
        <v>0.73120307012128838</v>
      </c>
      <c r="L28">
        <f t="shared" si="7"/>
        <v>2.9772274280713131E-2</v>
      </c>
      <c r="M28">
        <f t="shared" si="7"/>
        <v>180.2472174997659</v>
      </c>
    </row>
    <row r="29" spans="1:13" x14ac:dyDescent="0.45">
      <c r="A29">
        <v>70</v>
      </c>
      <c r="B29">
        <v>170</v>
      </c>
      <c r="C29" s="2">
        <f t="shared" si="5"/>
        <v>29.986029074030043</v>
      </c>
      <c r="D29" s="2">
        <f t="shared" si="5"/>
        <v>2.0000592472637915</v>
      </c>
      <c r="E29" s="2">
        <f t="shared" si="6"/>
        <v>169.99017638249546</v>
      </c>
      <c r="F29" s="6">
        <f t="shared" si="0"/>
        <v>-1.9647235009074393E-2</v>
      </c>
      <c r="G29" s="6">
        <f t="shared" si="1"/>
        <v>-1.3753064506352075</v>
      </c>
      <c r="H29" s="2">
        <f t="shared" si="3"/>
        <v>29.986042406922476</v>
      </c>
      <c r="I29" s="2">
        <f t="shared" si="3"/>
        <v>1.9999038983333453</v>
      </c>
      <c r="J29">
        <f t="shared" si="8"/>
        <v>-5.7422259713454612E-4</v>
      </c>
      <c r="K29">
        <f t="shared" si="8"/>
        <v>0.52055211804563883</v>
      </c>
      <c r="L29">
        <f t="shared" si="7"/>
        <v>2.8302961258852566E-2</v>
      </c>
      <c r="M29">
        <f t="shared" si="7"/>
        <v>171.32943001643554</v>
      </c>
    </row>
    <row r="30" spans="1:13" x14ac:dyDescent="0.45">
      <c r="A30">
        <v>27</v>
      </c>
      <c r="B30">
        <v>84</v>
      </c>
      <c r="C30" s="2">
        <f t="shared" si="5"/>
        <v>29.986042406922476</v>
      </c>
      <c r="D30" s="2">
        <f t="shared" si="5"/>
        <v>1.9999038983333453</v>
      </c>
      <c r="E30" s="2">
        <f t="shared" si="6"/>
        <v>83.983447661922796</v>
      </c>
      <c r="F30" s="6">
        <f t="shared" si="0"/>
        <v>-3.3104676154408708E-2</v>
      </c>
      <c r="G30" s="6">
        <f t="shared" si="1"/>
        <v>-0.8938262561690351</v>
      </c>
      <c r="H30" s="2">
        <f t="shared" si="3"/>
        <v>29.986133488192539</v>
      </c>
      <c r="I30" s="2">
        <f t="shared" si="3"/>
        <v>1.9997878339137742</v>
      </c>
      <c r="J30">
        <f t="shared" si="8"/>
        <v>-3.8272679528619617E-3</v>
      </c>
      <c r="K30">
        <f t="shared" si="8"/>
        <v>0.37911428062417152</v>
      </c>
      <c r="L30">
        <f t="shared" si="7"/>
        <v>2.694260917507435E-2</v>
      </c>
      <c r="M30">
        <f t="shared" si="7"/>
        <v>162.80290478442461</v>
      </c>
    </row>
    <row r="31" spans="1:13" x14ac:dyDescent="0.45">
      <c r="A31">
        <v>17</v>
      </c>
      <c r="B31">
        <v>64</v>
      </c>
      <c r="C31" s="2">
        <f t="shared" si="5"/>
        <v>29.986133488192539</v>
      </c>
      <c r="D31" s="2">
        <f t="shared" si="5"/>
        <v>1.9997878339137742</v>
      </c>
      <c r="E31" s="2">
        <f t="shared" si="6"/>
        <v>63.982526664726706</v>
      </c>
      <c r="F31" s="6">
        <f t="shared" si="0"/>
        <v>-3.4946670546588621E-2</v>
      </c>
      <c r="G31" s="6">
        <f t="shared" si="1"/>
        <v>-0.59409339929200655</v>
      </c>
      <c r="H31" s="2">
        <f t="shared" si="3"/>
        <v>29.986302715673943</v>
      </c>
      <c r="I31" s="2">
        <f t="shared" si="3"/>
        <v>1.9996993277794612</v>
      </c>
      <c r="J31">
        <f t="shared" si="8"/>
        <v>-6.9392082122346262E-3</v>
      </c>
      <c r="K31">
        <f t="shared" si="8"/>
        <v>0.2817935126325537</v>
      </c>
      <c r="L31">
        <f t="shared" si="7"/>
        <v>2.5656542205435222E-2</v>
      </c>
      <c r="M31">
        <f t="shared" si="7"/>
        <v>154.68040689355749</v>
      </c>
    </row>
    <row r="32" spans="1:13" x14ac:dyDescent="0.45">
      <c r="A32">
        <v>8</v>
      </c>
      <c r="B32">
        <v>46</v>
      </c>
      <c r="C32" s="2">
        <f t="shared" si="5"/>
        <v>29.986302715673943</v>
      </c>
      <c r="D32" s="2">
        <f t="shared" si="5"/>
        <v>1.9996993277794612</v>
      </c>
      <c r="E32" s="2">
        <f t="shared" si="6"/>
        <v>45.983897337909632</v>
      </c>
      <c r="F32" s="6">
        <f t="shared" si="0"/>
        <v>-3.2205324180736739E-2</v>
      </c>
      <c r="G32" s="6">
        <f t="shared" si="1"/>
        <v>-0.25764259344589391</v>
      </c>
      <c r="H32" s="2">
        <f t="shared" si="3"/>
        <v>29.986539305397248</v>
      </c>
      <c r="I32" s="2">
        <f t="shared" si="3"/>
        <v>1.9996259060651107</v>
      </c>
      <c r="J32">
        <f t="shared" si="8"/>
        <v>-9.4658198090848376E-3</v>
      </c>
      <c r="K32">
        <f t="shared" si="8"/>
        <v>0.22784990202470892</v>
      </c>
      <c r="L32">
        <f t="shared" si="7"/>
        <v>2.4425574240442779E-2</v>
      </c>
      <c r="M32">
        <f t="shared" si="7"/>
        <v>146.9497055341775</v>
      </c>
    </row>
    <row r="33" spans="1:15" x14ac:dyDescent="0.45">
      <c r="A33" s="6"/>
      <c r="B33" s="6"/>
      <c r="F33" s="6">
        <f>SQRT(SUMSQ(F4:F32))/COUNT(F4:F32)</f>
        <v>3.8888483583398574E-2</v>
      </c>
      <c r="G33" s="6">
        <f>SQRT(SUMSQ(G4:G32))/COUNT(G4:G32)</f>
        <v>3.0205963515969292</v>
      </c>
      <c r="H33" s="2"/>
      <c r="J33">
        <v>-4.8441943141925917E-2</v>
      </c>
      <c r="K33">
        <v>-4.0642025509844446</v>
      </c>
      <c r="L33" s="6">
        <v>2.527589588662521E-2</v>
      </c>
      <c r="M33" s="6">
        <v>161.89615404770484</v>
      </c>
      <c r="N33" s="2">
        <f>SQRT(L33)+SQRT(M33)</f>
        <v>12.882825901628111</v>
      </c>
      <c r="O33" s="9"/>
    </row>
    <row r="34" spans="1:15" x14ac:dyDescent="0.45">
      <c r="K34">
        <f>1/K3</f>
        <v>-0.24605072888352394</v>
      </c>
      <c r="L34">
        <f>1/L3</f>
        <v>39.56338499278089</v>
      </c>
      <c r="N34">
        <f>avg_grad2/prev_grad2</f>
        <v>1.2475765612497367</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adam_ann.reset">
                <anchor moveWithCells="1">
                  <from>
                    <xdr:col>0</xdr:col>
                    <xdr:colOff>14288</xdr:colOff>
                    <xdr:row>0</xdr:row>
                    <xdr:rowOff>14288</xdr:rowOff>
                  </from>
                  <to>
                    <xdr:col>0</xdr:col>
                    <xdr:colOff>642938</xdr:colOff>
                    <xdr:row>0</xdr:row>
                    <xdr:rowOff>176213</xdr:rowOff>
                  </to>
                </anchor>
              </controlPr>
            </control>
          </mc:Choice>
        </mc:AlternateContent>
        <mc:AlternateContent xmlns:mc="http://schemas.openxmlformats.org/markup-compatibility/2006">
          <mc:Choice Requires="x14">
            <control shapeId="49154" r:id="rId5" name="Button 2">
              <controlPr defaultSize="0" print="0" autoFill="0" autoPict="0" macro="[0]!adam_ann.somesteps">
                <anchor moveWithCells="1">
                  <from>
                    <xdr:col>0</xdr:col>
                    <xdr:colOff>14288</xdr:colOff>
                    <xdr:row>1</xdr:row>
                    <xdr:rowOff>14288</xdr:rowOff>
                  </from>
                  <to>
                    <xdr:col>0</xdr:col>
                    <xdr:colOff>642938</xdr:colOff>
                    <xdr:row>1</xdr:row>
                    <xdr:rowOff>176213</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54</vt:i4>
      </vt:variant>
    </vt:vector>
  </HeadingPairs>
  <TitlesOfParts>
    <vt:vector size="61" baseType="lpstr">
      <vt:lpstr>Sheet1</vt:lpstr>
      <vt:lpstr>data</vt:lpstr>
      <vt:lpstr>basic</vt:lpstr>
      <vt:lpstr>momentum</vt:lpstr>
      <vt:lpstr>rmsprop</vt:lpstr>
      <vt:lpstr>adam</vt:lpstr>
      <vt:lpstr>adam_ann</vt:lpstr>
      <vt:lpstr>adam_ann!avg_grad2</vt:lpstr>
      <vt:lpstr>adam!const</vt:lpstr>
      <vt:lpstr>adam_ann!const</vt:lpstr>
      <vt:lpstr>basic!const</vt:lpstr>
      <vt:lpstr>momentum!const</vt:lpstr>
      <vt:lpstr>rmsprop!const</vt:lpstr>
      <vt:lpstr>adam_ann!gradrat</vt:lpstr>
      <vt:lpstr>adam!gradtarget</vt:lpstr>
      <vt:lpstr>adam_ann!gradtarget</vt:lpstr>
      <vt:lpstr>basic!gradtarget</vt:lpstr>
      <vt:lpstr>rmsprop!gradtarget</vt:lpstr>
      <vt:lpstr>adam!histgrad</vt:lpstr>
      <vt:lpstr>adam_ann!histgrad</vt:lpstr>
      <vt:lpstr>basic!histgrad</vt:lpstr>
      <vt:lpstr>momentum!histgrad</vt:lpstr>
      <vt:lpstr>rmsprop!histgrad</vt:lpstr>
      <vt:lpstr>adam!lastconst</vt:lpstr>
      <vt:lpstr>adam_ann!lastconst</vt:lpstr>
      <vt:lpstr>basic!lastconst</vt:lpstr>
      <vt:lpstr>momentum!lastconst</vt:lpstr>
      <vt:lpstr>rmsprop!lastconst</vt:lpstr>
      <vt:lpstr>adam!lastslope</vt:lpstr>
      <vt:lpstr>adam_ann!lastslope</vt:lpstr>
      <vt:lpstr>basic!lastslope</vt:lpstr>
      <vt:lpstr>momentum!lastslope</vt:lpstr>
      <vt:lpstr>rmsprop!lastslope</vt:lpstr>
      <vt:lpstr>adam!lr</vt:lpstr>
      <vt:lpstr>adam_ann!lr</vt:lpstr>
      <vt:lpstr>momentum!lr</vt:lpstr>
      <vt:lpstr>adam!max_clipped</vt:lpstr>
      <vt:lpstr>adam_ann!max_clipped</vt:lpstr>
      <vt:lpstr>momentum!max_clipped</vt:lpstr>
      <vt:lpstr>rmsprop!max_clipped</vt:lpstr>
      <vt:lpstr>adam!momlast</vt:lpstr>
      <vt:lpstr>adam_ann!momlast</vt:lpstr>
      <vt:lpstr>momentum!momlast</vt:lpstr>
      <vt:lpstr>adam!momtarget</vt:lpstr>
      <vt:lpstr>adam_ann!momtarget</vt:lpstr>
      <vt:lpstr>momentum!momtarget</vt:lpstr>
      <vt:lpstr>adam!ms_last</vt:lpstr>
      <vt:lpstr>adam_ann!ms_last</vt:lpstr>
      <vt:lpstr>rmsprop!ms_last</vt:lpstr>
      <vt:lpstr>adam!pct_clipped</vt:lpstr>
      <vt:lpstr>adam_ann!pct_clipped</vt:lpstr>
      <vt:lpstr>momentum!pct_clipped</vt:lpstr>
      <vt:lpstr>adam_ann!prev_grad2</vt:lpstr>
      <vt:lpstr>basic!rmse</vt:lpstr>
      <vt:lpstr>basic!rmses</vt:lpstr>
      <vt:lpstr>basic!rmsestart</vt:lpstr>
      <vt:lpstr>adam!slope</vt:lpstr>
      <vt:lpstr>adam_ann!slope</vt:lpstr>
      <vt:lpstr>basic!slope</vt:lpstr>
      <vt:lpstr>momentum!slope</vt:lpstr>
      <vt:lpstr>rmsprop!slope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Jeremy Howard</cp:lastModifiedBy>
  <dcterms:created xsi:type="dcterms:W3CDTF">2014-03-27T15:29:57Z</dcterms:created>
  <dcterms:modified xsi:type="dcterms:W3CDTF">2018-11-21T18:42:34Z</dcterms:modified>
</cp:coreProperties>
</file>